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prasnikarm_ffa_uni-lj_si/Documents/FFA_MP/Doktorat/ČLANKI/PROTEINI/Raziskovalni članek 2 - formulacija mAb viscosity/oddaja v IJP/recenzija 02.2025/"/>
    </mc:Choice>
  </mc:AlternateContent>
  <xr:revisionPtr revIDLastSave="72" documentId="8_{8406C6C9-A904-45CC-AB55-3AE1DC3F6333}" xr6:coauthVersionLast="47" xr6:coauthVersionMax="47" xr10:uidLastSave="{6725FC52-A5C9-4CA3-85FB-AF3D73D1D705}"/>
  <bookViews>
    <workbookView xWindow="-105" yWindow="-105" windowWidth="23250" windowHeight="12570" xr2:uid="{595E1E73-5B71-4F4F-BB05-3F4D74043E76}"/>
  </bookViews>
  <sheets>
    <sheet name="Test compound properties" sheetId="2" r:id="rId1"/>
    <sheet name="Measurement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1" l="1"/>
</calcChain>
</file>

<file path=xl/sharedStrings.xml><?xml version="1.0" encoding="utf-8"?>
<sst xmlns="http://schemas.openxmlformats.org/spreadsheetml/2006/main" count="520" uniqueCount="180">
  <si>
    <t>Structure</t>
  </si>
  <si>
    <t>Label</t>
  </si>
  <si>
    <t>Search label</t>
  </si>
  <si>
    <t>Name</t>
  </si>
  <si>
    <t>Method</t>
  </si>
  <si>
    <t>Submethod</t>
  </si>
  <si>
    <t>Library</t>
  </si>
  <si>
    <t>Vendor ID screening</t>
  </si>
  <si>
    <t>Internal chemical library ID</t>
  </si>
  <si>
    <t>Molport ID</t>
  </si>
  <si>
    <t>Vendor purchase</t>
  </si>
  <si>
    <t>Canonical SMILES</t>
  </si>
  <si>
    <t>Salt form</t>
  </si>
  <si>
    <t>Average molecular weight</t>
  </si>
  <si>
    <t>SlogP</t>
  </si>
  <si>
    <t>Net charge</t>
  </si>
  <si>
    <t>Number of charges</t>
  </si>
  <si>
    <t>Number of positive charges</t>
  </si>
  <si>
    <t>Number of negative charges</t>
  </si>
  <si>
    <t>Nexus Derek Alert Count</t>
  </si>
  <si>
    <t>Nexus Derek Alert names</t>
  </si>
  <si>
    <t>Nexus Derek Plausible alerts</t>
  </si>
  <si>
    <t>Arg</t>
  </si>
  <si>
    <t>S01</t>
  </si>
  <si>
    <t>L-Arginine</t>
  </si>
  <si>
    <t>control</t>
  </si>
  <si>
    <t>/</t>
  </si>
  <si>
    <t>56/A</t>
  </si>
  <si>
    <t>Fisher Scientific</t>
  </si>
  <si>
    <t>C(C[C@@H](C(=O)O)N)CN=C(N)N</t>
  </si>
  <si>
    <t>Pro</t>
  </si>
  <si>
    <t>S02</t>
  </si>
  <si>
    <t>L-Proline</t>
  </si>
  <si>
    <t>19/P</t>
  </si>
  <si>
    <t>Bachem</t>
  </si>
  <si>
    <t>C1C[C@H](NC1)C(=O)O</t>
  </si>
  <si>
    <t>S05</t>
  </si>
  <si>
    <t>(2S,4S)-pyrrolidine-2,4-dicarboxylic acid</t>
  </si>
  <si>
    <t>Pro mimetics</t>
  </si>
  <si>
    <t>Pro derivatives manual</t>
  </si>
  <si>
    <t>MolPort-004-769-449</t>
  </si>
  <si>
    <t>MedChemExpress Europe</t>
  </si>
  <si>
    <t>OC(=O)[C@@H]1CN[C@@H](C1)C(O)=O</t>
  </si>
  <si>
    <t>S06</t>
  </si>
  <si>
    <t>(2S,4S)-4-aminopyrrolidine-2-carboxylic acid</t>
  </si>
  <si>
    <t>MolPort-004-786-038</t>
  </si>
  <si>
    <t>BLD Pharmatech Ltd.</t>
  </si>
  <si>
    <t>N[C@@H]1CN[C@@H](C1)C(O)=O</t>
  </si>
  <si>
    <t>Diamine</t>
  </si>
  <si>
    <t>Skin sensitisation human, Skin sensitisation mammal, Irritation (of the respiratory tract) human, Irritation (of the respiratory tract) mammal</t>
  </si>
  <si>
    <t>S09</t>
  </si>
  <si>
    <t>H-Pro-Pro-OH</t>
  </si>
  <si>
    <t>dipeptides with Pro</t>
  </si>
  <si>
    <t>MolPort-028-959-463</t>
  </si>
  <si>
    <t>Chem Impex International</t>
  </si>
  <si>
    <t>Cl.OC(=O)[C@@H]1CCCN1C(=O)[C@@H]1CCCN1</t>
  </si>
  <si>
    <t>chloride</t>
  </si>
  <si>
    <t>S10</t>
  </si>
  <si>
    <t>H-Pro-Gln-OH</t>
  </si>
  <si>
    <t>MolPort-012-237-816</t>
  </si>
  <si>
    <t>AA BLOCKS</t>
  </si>
  <si>
    <t>NC(=O)CC[C@H](NC(=O)[C@@H]1CCCN1)C(O)=O</t>
  </si>
  <si>
    <t>S11</t>
  </si>
  <si>
    <t>H-Pro-Tyr-OH</t>
  </si>
  <si>
    <t>MolPort-012-238-213</t>
  </si>
  <si>
    <t>OC(=O)[C@H](Cc1ccc(O)cc1)NC(=O)[C@@H]1CCCN1</t>
  </si>
  <si>
    <t>Alkylphenol, para-Alkylphenol or derivative</t>
  </si>
  <si>
    <t>Chromosome damage in vitro human, Chromosome damage in vitro mammal, Hepatotoxicity human, Hepatotoxicity mammal</t>
  </si>
  <si>
    <t>S13</t>
  </si>
  <si>
    <t>H-Gly-Pro-OH</t>
  </si>
  <si>
    <t>MolPort-002-499-499</t>
  </si>
  <si>
    <t>NCC(=O)N1CCC[C@H]1C(O)=O</t>
  </si>
  <si>
    <t>S15</t>
  </si>
  <si>
    <t>H-Val-Pro-OH</t>
  </si>
  <si>
    <t>MolPort-030-084-500</t>
  </si>
  <si>
    <t>Cl.CC(C)[C@H](N)C(=O)N1CCC[C@H]1C(O)=O</t>
  </si>
  <si>
    <t>S17</t>
  </si>
  <si>
    <t>H-Gly-Pro-Ala-OH</t>
  </si>
  <si>
    <t>tripeptides with Pro</t>
  </si>
  <si>
    <t>MolPort-035-882-135</t>
  </si>
  <si>
    <t>C[C@H](NC(=O)[C@@H]1CCCN1C(=O)CN)C(O)=O</t>
  </si>
  <si>
    <t>S31</t>
  </si>
  <si>
    <t>D/L-piperidine-3-carboxylic acid</t>
  </si>
  <si>
    <t>Pro-nicotinic mimetics</t>
  </si>
  <si>
    <t>Manual</t>
  </si>
  <si>
    <t>Fluorochem</t>
  </si>
  <si>
    <t>OC([C@@H]1CCCNC1)=O</t>
  </si>
  <si>
    <t>S32</t>
  </si>
  <si>
    <t>nicotinic acid</t>
  </si>
  <si>
    <t>N/17</t>
  </si>
  <si>
    <t>Analyticals Carlo Erba</t>
  </si>
  <si>
    <t>OC(C1=CN=CC=C1)=O</t>
  </si>
  <si>
    <t>S36</t>
  </si>
  <si>
    <t>1H-pyrrole-3-carboxylic acid</t>
  </si>
  <si>
    <t>BLD Pharm</t>
  </si>
  <si>
    <t>O=C(O)C1=CNC=C1</t>
  </si>
  <si>
    <t>Viscosity reduction [%] calculation</t>
  </si>
  <si>
    <t>SEC - after preparation</t>
  </si>
  <si>
    <t>SEC - after 4 weeks</t>
  </si>
  <si>
    <t>SEC - after 12 weeks</t>
  </si>
  <si>
    <t>DLS</t>
  </si>
  <si>
    <t>Test compound added</t>
  </si>
  <si>
    <t>c (VRA) [mM]</t>
  </si>
  <si>
    <t>c (mAb) [mg/ml]</t>
  </si>
  <si>
    <t>Average viscosity [mPas]</t>
  </si>
  <si>
    <t>Viscosity_SD [mPas]</t>
  </si>
  <si>
    <t>Viscosity reduction [%]</t>
  </si>
  <si>
    <t>Viscosity reduction confidence interval_low</t>
  </si>
  <si>
    <t>Viscosity reduction confidence interval_high</t>
  </si>
  <si>
    <t>Monomer [%]</t>
  </si>
  <si>
    <t>Aggregates [%]</t>
  </si>
  <si>
    <t>4°C monomer [%]</t>
  </si>
  <si>
    <t>4°C agg growth [%]</t>
  </si>
  <si>
    <t>40°C monomer [%]</t>
  </si>
  <si>
    <t>40°C agg growth [%]</t>
  </si>
  <si>
    <r>
      <t>diffusion interaction parameter k</t>
    </r>
    <r>
      <rPr>
        <b/>
        <sz val="8"/>
        <color rgb="FF000000"/>
        <rFont val="Aptos Narrow"/>
        <charset val="238"/>
        <scheme val="minor"/>
      </rPr>
      <t>D</t>
    </r>
    <r>
      <rPr>
        <b/>
        <sz val="11"/>
        <color rgb="FF000000"/>
        <rFont val="Aptos Narrow"/>
        <family val="2"/>
        <scheme val="minor"/>
      </rPr>
      <t xml:space="preserve"> [mL/g]</t>
    </r>
  </si>
  <si>
    <t>second virial coefficient B22 [mL mol/g]</t>
  </si>
  <si>
    <t>Polidispersity index (PDI)</t>
  </si>
  <si>
    <t>PDI_SD</t>
  </si>
  <si>
    <t xml:space="preserve">Arg_25 </t>
  </si>
  <si>
    <t>Pro_25</t>
  </si>
  <si>
    <t>S05_25</t>
  </si>
  <si>
    <t>S06_25</t>
  </si>
  <si>
    <t>S09_25</t>
  </si>
  <si>
    <t>S10_25</t>
  </si>
  <si>
    <t>S11_25</t>
  </si>
  <si>
    <t>S13_25</t>
  </si>
  <si>
    <t>S15_25</t>
  </si>
  <si>
    <t>S17_25</t>
  </si>
  <si>
    <t>S31_25</t>
  </si>
  <si>
    <t>S32_25</t>
  </si>
  <si>
    <t>S36_25</t>
  </si>
  <si>
    <t>Arg_50mM</t>
  </si>
  <si>
    <t>Arg_100mM</t>
  </si>
  <si>
    <t>Arg_200mM</t>
  </si>
  <si>
    <t>Pro_50mM</t>
  </si>
  <si>
    <t>Pro_100mM</t>
  </si>
  <si>
    <t>Pro_200mM</t>
  </si>
  <si>
    <t>S09_50mM</t>
  </si>
  <si>
    <t>S09_100mM</t>
  </si>
  <si>
    <t>S09_200mM</t>
  </si>
  <si>
    <t>S32_50mM</t>
  </si>
  <si>
    <t>S32_100mM</t>
  </si>
  <si>
    <t>S32_200mM</t>
  </si>
  <si>
    <t>S36_50mM</t>
  </si>
  <si>
    <t>S36_100mM</t>
  </si>
  <si>
    <t>S36_200mM</t>
  </si>
  <si>
    <t>S32-Pro</t>
  </si>
  <si>
    <t>S32-S02</t>
  </si>
  <si>
    <t>25-25</t>
  </si>
  <si>
    <t>S36-Pro</t>
  </si>
  <si>
    <t>S36-S02</t>
  </si>
  <si>
    <t>S32-S05</t>
  </si>
  <si>
    <t>S36-S05</t>
  </si>
  <si>
    <t>S32-S06</t>
  </si>
  <si>
    <t>S36-S06</t>
  </si>
  <si>
    <t>S32-S09</t>
  </si>
  <si>
    <t>S36-S09</t>
  </si>
  <si>
    <t>S32-S10</t>
  </si>
  <si>
    <t>S36-S10</t>
  </si>
  <si>
    <t>S32-S11</t>
  </si>
  <si>
    <t>S36-S11</t>
  </si>
  <si>
    <t>S32-S13</t>
  </si>
  <si>
    <t>S36-S13</t>
  </si>
  <si>
    <t>S32-S15</t>
  </si>
  <si>
    <t>S36-S15</t>
  </si>
  <si>
    <t>S32-S17</t>
  </si>
  <si>
    <t>S36-S17</t>
  </si>
  <si>
    <t>S32-S31</t>
  </si>
  <si>
    <t>S36-S31</t>
  </si>
  <si>
    <t>S32-S36</t>
  </si>
  <si>
    <t>Arg_50_200 mAb</t>
  </si>
  <si>
    <t>Arg_100_200 mAb</t>
  </si>
  <si>
    <t>Arg_200_200 mAb</t>
  </si>
  <si>
    <t>S32_50_200 mAb</t>
  </si>
  <si>
    <t>S32_100_200 mAb</t>
  </si>
  <si>
    <t>S32_200_200 mAb</t>
  </si>
  <si>
    <t>S36_50_200 mAb</t>
  </si>
  <si>
    <t>S36_100_200 mAb</t>
  </si>
  <si>
    <t>S36_200_200 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</si>
</sst>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8"/>
      <color rgb="FF000000"/>
      <name val="Aptos Narrow"/>
      <charset val="238"/>
      <scheme val="minor"/>
    </font>
    <font>
      <b/>
      <sz val="11"/>
      <color rgb="FF000000"/>
      <name val="Aptos Narrow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/>
    <xf numFmtId="0" fontId="3" fillId="3" borderId="0" xfId="0" applyFont="1" applyFill="1" applyAlignment="1">
      <alignment horizontal="centerContinuous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2" fontId="1" fillId="0" borderId="0" xfId="0" applyNumberFormat="1" applyFont="1" applyAlignment="1">
      <alignment wrapText="1"/>
    </xf>
    <xf numFmtId="0" fontId="1" fillId="0" borderId="0" xfId="1"/>
    <xf numFmtId="0" fontId="0" fillId="2" borderId="1" xfId="0" applyFill="1" applyBorder="1" applyAlignment="1">
      <alignment horizontal="centerContinuous"/>
    </xf>
    <xf numFmtId="0" fontId="4" fillId="2" borderId="2" xfId="0" applyFont="1" applyFill="1" applyBorder="1" applyAlignment="1">
      <alignment wrapText="1"/>
    </xf>
    <xf numFmtId="164" fontId="0" fillId="2" borderId="2" xfId="0" applyNumberFormat="1" applyFill="1" applyBorder="1" applyAlignment="1">
      <alignment vertical="center" wrapText="1"/>
    </xf>
    <xf numFmtId="164" fontId="0" fillId="2" borderId="2" xfId="0" applyNumberFormat="1" applyFill="1" applyBorder="1"/>
    <xf numFmtId="0" fontId="0" fillId="2" borderId="2" xfId="0" applyFill="1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right" wrapText="1"/>
    </xf>
    <xf numFmtId="0" fontId="4" fillId="2" borderId="3" xfId="0" applyFont="1" applyFill="1" applyBorder="1" applyAlignment="1">
      <alignment wrapText="1"/>
    </xf>
    <xf numFmtId="2" fontId="0" fillId="2" borderId="3" xfId="0" applyNumberFormat="1" applyFill="1" applyBorder="1" applyAlignment="1">
      <alignment horizontal="right"/>
    </xf>
    <xf numFmtId="2" fontId="0" fillId="2" borderId="3" xfId="0" applyNumberFormat="1" applyFill="1" applyBorder="1"/>
    <xf numFmtId="0" fontId="5" fillId="4" borderId="2" xfId="0" applyFont="1" applyFill="1" applyBorder="1" applyAlignment="1">
      <alignment horizontal="center" wrapText="1"/>
    </xf>
    <xf numFmtId="2" fontId="0" fillId="4" borderId="2" xfId="0" applyNumberFormat="1" applyFill="1" applyBorder="1"/>
    <xf numFmtId="0" fontId="4" fillId="5" borderId="2" xfId="0" applyFont="1" applyFill="1" applyBorder="1" applyAlignment="1">
      <alignment wrapText="1"/>
    </xf>
    <xf numFmtId="2" fontId="0" fillId="5" borderId="2" xfId="0" applyNumberFormat="1" applyFill="1" applyBorder="1"/>
    <xf numFmtId="0" fontId="5" fillId="4" borderId="3" xfId="0" applyFont="1" applyFill="1" applyBorder="1" applyAlignment="1">
      <alignment horizontal="center" wrapText="1"/>
    </xf>
    <xf numFmtId="2" fontId="0" fillId="4" borderId="3" xfId="0" applyNumberFormat="1" applyFill="1" applyBorder="1"/>
    <xf numFmtId="0" fontId="0" fillId="4" borderId="3" xfId="0" applyFill="1" applyBorder="1" applyAlignment="1">
      <alignment horizontal="right"/>
    </xf>
    <xf numFmtId="0" fontId="3" fillId="3" borderId="1" xfId="0" applyFont="1" applyFill="1" applyBorder="1" applyAlignment="1">
      <alignment horizontal="centerContinuous"/>
    </xf>
    <xf numFmtId="0" fontId="4" fillId="5" borderId="4" xfId="0" applyFont="1" applyFill="1" applyBorder="1" applyAlignment="1">
      <alignment wrapText="1"/>
    </xf>
    <xf numFmtId="2" fontId="0" fillId="5" borderId="4" xfId="0" applyNumberFormat="1" applyFill="1" applyBorder="1"/>
    <xf numFmtId="0" fontId="5" fillId="4" borderId="4" xfId="0" applyFont="1" applyFill="1" applyBorder="1" applyAlignment="1">
      <alignment horizontal="center" wrapText="1"/>
    </xf>
    <xf numFmtId="2" fontId="0" fillId="4" borderId="4" xfId="0" applyNumberFormat="1" applyFill="1" applyBorder="1"/>
    <xf numFmtId="0" fontId="0" fillId="4" borderId="4" xfId="0" applyFill="1" applyBorder="1" applyAlignment="1">
      <alignment horizontal="right"/>
    </xf>
    <xf numFmtId="164" fontId="0" fillId="2" borderId="4" xfId="0" applyNumberFormat="1" applyFill="1" applyBorder="1" applyAlignment="1">
      <alignment vertical="center" wrapText="1"/>
    </xf>
    <xf numFmtId="164" fontId="0" fillId="2" borderId="4" xfId="0" applyNumberFormat="1" applyFill="1" applyBorder="1"/>
    <xf numFmtId="0" fontId="8" fillId="2" borderId="4" xfId="0" applyFont="1" applyFill="1" applyBorder="1" applyAlignment="1">
      <alignment wrapText="1"/>
    </xf>
    <xf numFmtId="0" fontId="4" fillId="4" borderId="0" xfId="0" applyFont="1" applyFill="1" applyAlignment="1">
      <alignment horizontal="centerContinuous"/>
    </xf>
    <xf numFmtId="0" fontId="4" fillId="4" borderId="1" xfId="0" applyFont="1" applyFill="1" applyBorder="1" applyAlignment="1">
      <alignment horizontal="centerContinuous"/>
    </xf>
    <xf numFmtId="0" fontId="4" fillId="2" borderId="0" xfId="0" applyFont="1" applyFill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3" xfId="0" applyFont="1" applyBorder="1" applyAlignment="1">
      <alignment wrapText="1"/>
    </xf>
    <xf numFmtId="2" fontId="0" fillId="0" borderId="3" xfId="0" applyNumberFormat="1" applyBorder="1"/>
    <xf numFmtId="0" fontId="4" fillId="0" borderId="2" xfId="0" applyFont="1" applyBorder="1" applyAlignment="1">
      <alignment wrapText="1"/>
    </xf>
    <xf numFmtId="2" fontId="0" fillId="0" borderId="2" xfId="0" applyNumberFormat="1" applyBorder="1"/>
    <xf numFmtId="164" fontId="0" fillId="0" borderId="0" xfId="0" applyNumberFormat="1"/>
  </cellXfs>
  <cellStyles count="2">
    <cellStyle name="Normal" xfId="0" builtinId="0"/>
    <cellStyle name="Normal 2" xfId="1" xr:uid="{1292FF37-3A3F-4060-B86B-B34C849778DC}"/>
  </cellStyles>
  <dxfs count="1"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BB1CF210-0326-41EB-BC7E-0BA5FF8C9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1685925" cy="1333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1714500</xdr:colOff>
      <xdr:row>2</xdr:row>
      <xdr:rowOff>1333500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9F9F5C7F-DBE6-4786-B90B-70B80ACF4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7000"/>
          <a:ext cx="1685925" cy="1333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1714500</xdr:colOff>
      <xdr:row>3</xdr:row>
      <xdr:rowOff>1333500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A96CCDA4-99D3-4E09-B585-F51AED33D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67500"/>
          <a:ext cx="1685925" cy="1333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1714500</xdr:colOff>
      <xdr:row>4</xdr:row>
      <xdr:rowOff>1333500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1A8A46A-8446-4ECF-81D9-AB6A22825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001000"/>
          <a:ext cx="1685925" cy="1333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1714500</xdr:colOff>
      <xdr:row>5</xdr:row>
      <xdr:rowOff>1333500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651B91C6-2E45-46EE-8341-25E41DACC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001500"/>
          <a:ext cx="1685925" cy="1333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1714500</xdr:colOff>
      <xdr:row>6</xdr:row>
      <xdr:rowOff>1333500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A02A37A4-AC20-4A9E-8551-8703A85A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3335000"/>
          <a:ext cx="1685925" cy="1333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1714500</xdr:colOff>
      <xdr:row>7</xdr:row>
      <xdr:rowOff>1333500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5C899CB-7172-4D40-8E42-264D67E3F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4668500"/>
          <a:ext cx="1685925" cy="1333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1714500</xdr:colOff>
      <xdr:row>8</xdr:row>
      <xdr:rowOff>1333500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D57B59C9-7F5B-40E2-8193-D33F2617D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7335500"/>
          <a:ext cx="1685925" cy="1333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1714500</xdr:colOff>
      <xdr:row>9</xdr:row>
      <xdr:rowOff>1333500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CC14D739-556C-4562-8025-5BDFE6CE6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0002500"/>
          <a:ext cx="1685925" cy="1333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1714500</xdr:colOff>
      <xdr:row>10</xdr:row>
      <xdr:rowOff>1333500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3AC43C2F-0973-49B7-A98E-0B344339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2669500"/>
          <a:ext cx="1685925" cy="1333500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11</xdr:row>
      <xdr:rowOff>1</xdr:rowOff>
    </xdr:from>
    <xdr:to>
      <xdr:col>0</xdr:col>
      <xdr:colOff>9744074</xdr:colOff>
      <xdr:row>11</xdr:row>
      <xdr:rowOff>2428874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D03A8CFE-9120-4F4A-A419-14347D077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41338501"/>
          <a:ext cx="1685923" cy="1333498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12</xdr:row>
      <xdr:rowOff>1</xdr:rowOff>
    </xdr:from>
    <xdr:to>
      <xdr:col>0</xdr:col>
      <xdr:colOff>9744074</xdr:colOff>
      <xdr:row>12</xdr:row>
      <xdr:rowOff>2428874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D02505B4-C5C5-4053-B681-97371C003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42672001"/>
          <a:ext cx="1685923" cy="1333498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13</xdr:row>
      <xdr:rowOff>1</xdr:rowOff>
    </xdr:from>
    <xdr:to>
      <xdr:col>0</xdr:col>
      <xdr:colOff>9744074</xdr:colOff>
      <xdr:row>13</xdr:row>
      <xdr:rowOff>2428874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523ACEF1-E419-41E7-87B3-7D95530D1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48006001"/>
          <a:ext cx="1685923" cy="1333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2708-77F8-413A-89E5-D25E11D283F8}">
  <dimension ref="A1:V14"/>
  <sheetViews>
    <sheetView tabSelected="1" topLeftCell="A8" zoomScale="55" zoomScaleNormal="55" workbookViewId="0">
      <selection activeCell="W1" sqref="W1:W1048576"/>
    </sheetView>
  </sheetViews>
  <sheetFormatPr defaultRowHeight="15" customHeight="1"/>
  <cols>
    <col min="1" max="1" width="14.85546875" customWidth="1"/>
    <col min="4" max="4" width="44" customWidth="1"/>
    <col min="6" max="6" width="11.85546875" customWidth="1"/>
    <col min="10" max="10" width="20" customWidth="1"/>
    <col min="11" max="11" width="26" customWidth="1"/>
    <col min="12" max="12" width="55.7109375" customWidth="1"/>
    <col min="21" max="21" width="18.85546875" customWidth="1"/>
    <col min="22" max="22" width="44.5703125" customWidth="1"/>
  </cols>
  <sheetData>
    <row r="1" spans="1:22" ht="57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51" customHeight="1">
      <c r="A2" s="2"/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26</v>
      </c>
      <c r="H2" s="2" t="s">
        <v>26</v>
      </c>
      <c r="I2" s="2" t="s">
        <v>27</v>
      </c>
      <c r="J2" s="2" t="s">
        <v>26</v>
      </c>
      <c r="K2" s="2" t="s">
        <v>28</v>
      </c>
      <c r="L2" s="2" t="s">
        <v>29</v>
      </c>
      <c r="M2" s="2" t="s">
        <v>26</v>
      </c>
      <c r="N2" s="2">
        <v>174.20399999999998</v>
      </c>
      <c r="O2" s="2">
        <v>-1.5480999999999989</v>
      </c>
      <c r="P2" s="2">
        <v>1</v>
      </c>
      <c r="Q2" s="2">
        <v>3</v>
      </c>
      <c r="R2" s="2">
        <v>2</v>
      </c>
      <c r="S2" s="2">
        <v>1</v>
      </c>
      <c r="T2" s="2">
        <v>0</v>
      </c>
      <c r="U2" s="2" t="s">
        <v>26</v>
      </c>
      <c r="V2" s="2" t="s">
        <v>26</v>
      </c>
    </row>
    <row r="3" spans="1:22" ht="51" customHeight="1">
      <c r="A3" s="2"/>
      <c r="B3" s="2" t="s">
        <v>30</v>
      </c>
      <c r="C3" s="2" t="s">
        <v>31</v>
      </c>
      <c r="D3" s="2" t="s">
        <v>32</v>
      </c>
      <c r="E3" s="2" t="s">
        <v>25</v>
      </c>
      <c r="F3" s="2" t="s">
        <v>26</v>
      </c>
      <c r="G3" s="2" t="s">
        <v>26</v>
      </c>
      <c r="H3" s="2" t="s">
        <v>26</v>
      </c>
      <c r="I3" s="2" t="s">
        <v>33</v>
      </c>
      <c r="J3" s="2" t="s">
        <v>26</v>
      </c>
      <c r="K3" s="2" t="s">
        <v>34</v>
      </c>
      <c r="L3" s="2" t="s">
        <v>35</v>
      </c>
      <c r="M3" s="2" t="s">
        <v>26</v>
      </c>
      <c r="N3" s="2">
        <v>115.13199999999999</v>
      </c>
      <c r="O3" s="2">
        <v>-0.17700000000000032</v>
      </c>
      <c r="P3" s="2">
        <v>0</v>
      </c>
      <c r="Q3" s="2">
        <v>2</v>
      </c>
      <c r="R3" s="2">
        <v>1</v>
      </c>
      <c r="S3" s="2">
        <v>1</v>
      </c>
      <c r="T3" s="2">
        <v>0</v>
      </c>
      <c r="U3" s="2" t="s">
        <v>26</v>
      </c>
      <c r="V3" s="2" t="s">
        <v>26</v>
      </c>
    </row>
    <row r="4" spans="1:22" ht="51" customHeight="1">
      <c r="A4" s="2"/>
      <c r="B4" s="2" t="s">
        <v>36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26</v>
      </c>
      <c r="H4" s="2" t="s">
        <v>26</v>
      </c>
      <c r="I4" s="2" t="s">
        <v>26</v>
      </c>
      <c r="J4" s="2" t="s">
        <v>40</v>
      </c>
      <c r="K4" s="2" t="s">
        <v>41</v>
      </c>
      <c r="L4" s="2" t="s">
        <v>42</v>
      </c>
      <c r="M4" s="2" t="s">
        <v>26</v>
      </c>
      <c r="N4" s="2">
        <v>159.14100000000002</v>
      </c>
      <c r="O4" s="2">
        <v>-0.86630000000000029</v>
      </c>
      <c r="P4" s="2">
        <v>-1</v>
      </c>
      <c r="Q4" s="2">
        <v>3</v>
      </c>
      <c r="R4" s="2">
        <v>1</v>
      </c>
      <c r="S4" s="2">
        <v>2</v>
      </c>
      <c r="T4" s="2">
        <v>0</v>
      </c>
      <c r="U4" s="2" t="s">
        <v>26</v>
      </c>
      <c r="V4" s="2" t="s">
        <v>26</v>
      </c>
    </row>
    <row r="5" spans="1:22" ht="51" customHeight="1">
      <c r="A5" s="2"/>
      <c r="B5" s="2" t="s">
        <v>43</v>
      </c>
      <c r="C5" s="2" t="s">
        <v>43</v>
      </c>
      <c r="D5" s="2" t="s">
        <v>44</v>
      </c>
      <c r="E5" s="2" t="s">
        <v>38</v>
      </c>
      <c r="F5" s="2" t="s">
        <v>39</v>
      </c>
      <c r="G5" s="2" t="s">
        <v>26</v>
      </c>
      <c r="H5" s="2" t="s">
        <v>26</v>
      </c>
      <c r="I5" s="2" t="s">
        <v>26</v>
      </c>
      <c r="J5" s="2" t="s">
        <v>45</v>
      </c>
      <c r="K5" s="2" t="s">
        <v>46</v>
      </c>
      <c r="L5" s="2" t="s">
        <v>47</v>
      </c>
      <c r="M5" s="2" t="s">
        <v>26</v>
      </c>
      <c r="N5" s="2">
        <v>130.14699999999999</v>
      </c>
      <c r="O5" s="2">
        <v>-1.2397999999999996</v>
      </c>
      <c r="P5" s="2">
        <v>0</v>
      </c>
      <c r="Q5" s="2">
        <v>2</v>
      </c>
      <c r="R5" s="2">
        <v>1</v>
      </c>
      <c r="S5" s="2">
        <v>1</v>
      </c>
      <c r="T5" s="2">
        <v>2</v>
      </c>
      <c r="U5" s="2" t="s">
        <v>48</v>
      </c>
      <c r="V5" s="2" t="s">
        <v>49</v>
      </c>
    </row>
    <row r="6" spans="1:22" ht="51" customHeight="1">
      <c r="A6" s="2"/>
      <c r="B6" s="2" t="s">
        <v>50</v>
      </c>
      <c r="C6" s="2" t="s">
        <v>50</v>
      </c>
      <c r="D6" s="2" t="s">
        <v>51</v>
      </c>
      <c r="E6" s="2" t="s">
        <v>38</v>
      </c>
      <c r="F6" s="2" t="s">
        <v>52</v>
      </c>
      <c r="G6" s="2" t="s">
        <v>26</v>
      </c>
      <c r="H6" s="2" t="s">
        <v>26</v>
      </c>
      <c r="I6" s="2" t="s">
        <v>26</v>
      </c>
      <c r="J6" s="2" t="s">
        <v>53</v>
      </c>
      <c r="K6" s="2" t="s">
        <v>54</v>
      </c>
      <c r="L6" s="2" t="s">
        <v>55</v>
      </c>
      <c r="M6" s="2" t="s">
        <v>56</v>
      </c>
      <c r="N6" s="2">
        <v>248.70999999999998</v>
      </c>
      <c r="O6" s="2">
        <v>0.23579999999999984</v>
      </c>
      <c r="P6" s="2">
        <v>0</v>
      </c>
      <c r="Q6" s="2">
        <v>2</v>
      </c>
      <c r="R6" s="2">
        <v>1</v>
      </c>
      <c r="S6" s="2">
        <v>1</v>
      </c>
      <c r="T6" s="2">
        <v>0</v>
      </c>
      <c r="U6" s="2" t="s">
        <v>26</v>
      </c>
      <c r="V6" s="2" t="s">
        <v>26</v>
      </c>
    </row>
    <row r="7" spans="1:22" ht="51" customHeight="1">
      <c r="A7" s="2"/>
      <c r="B7" s="2" t="s">
        <v>57</v>
      </c>
      <c r="C7" s="2" t="s">
        <v>57</v>
      </c>
      <c r="D7" s="2" t="s">
        <v>58</v>
      </c>
      <c r="E7" s="2" t="s">
        <v>38</v>
      </c>
      <c r="F7" s="2" t="s">
        <v>52</v>
      </c>
      <c r="G7" s="2" t="s">
        <v>26</v>
      </c>
      <c r="H7" s="2" t="s">
        <v>26</v>
      </c>
      <c r="I7" s="2" t="s">
        <v>26</v>
      </c>
      <c r="J7" s="2" t="s">
        <v>59</v>
      </c>
      <c r="K7" s="2" t="s">
        <v>60</v>
      </c>
      <c r="L7" s="2" t="s">
        <v>61</v>
      </c>
      <c r="M7" s="2" t="s">
        <v>26</v>
      </c>
      <c r="N7" s="2">
        <v>243.26299999999998</v>
      </c>
      <c r="O7" s="2">
        <v>-1.4266999999999979</v>
      </c>
      <c r="P7" s="2">
        <v>0</v>
      </c>
      <c r="Q7" s="2">
        <v>2</v>
      </c>
      <c r="R7" s="2">
        <v>1</v>
      </c>
      <c r="S7" s="2">
        <v>1</v>
      </c>
      <c r="T7" s="2">
        <v>0</v>
      </c>
      <c r="U7" s="2" t="s">
        <v>26</v>
      </c>
      <c r="V7" s="2" t="s">
        <v>26</v>
      </c>
    </row>
    <row r="8" spans="1:22" ht="51" customHeight="1">
      <c r="A8" s="2"/>
      <c r="B8" s="2" t="s">
        <v>62</v>
      </c>
      <c r="C8" s="2" t="s">
        <v>62</v>
      </c>
      <c r="D8" s="2" t="s">
        <v>63</v>
      </c>
      <c r="E8" s="2" t="s">
        <v>38</v>
      </c>
      <c r="F8" s="2" t="s">
        <v>52</v>
      </c>
      <c r="G8" s="2" t="s">
        <v>26</v>
      </c>
      <c r="H8" s="2" t="s">
        <v>26</v>
      </c>
      <c r="I8" s="2" t="s">
        <v>26</v>
      </c>
      <c r="J8" s="2" t="s">
        <v>64</v>
      </c>
      <c r="K8" s="2" t="s">
        <v>54</v>
      </c>
      <c r="L8" s="2" t="s">
        <v>65</v>
      </c>
      <c r="M8" s="2" t="s">
        <v>26</v>
      </c>
      <c r="N8" s="2">
        <v>278.30799999999999</v>
      </c>
      <c r="O8" s="2">
        <v>0.25609999999999961</v>
      </c>
      <c r="P8" s="2">
        <v>0</v>
      </c>
      <c r="Q8" s="2">
        <v>2</v>
      </c>
      <c r="R8" s="2">
        <v>1</v>
      </c>
      <c r="S8" s="2">
        <v>1</v>
      </c>
      <c r="T8" s="2">
        <v>2</v>
      </c>
      <c r="U8" s="2" t="s">
        <v>66</v>
      </c>
      <c r="V8" s="2" t="s">
        <v>67</v>
      </c>
    </row>
    <row r="9" spans="1:22" ht="51" customHeight="1">
      <c r="A9" s="2"/>
      <c r="B9" s="2" t="s">
        <v>68</v>
      </c>
      <c r="C9" s="2" t="s">
        <v>68</v>
      </c>
      <c r="D9" s="2" t="s">
        <v>69</v>
      </c>
      <c r="E9" s="2" t="s">
        <v>38</v>
      </c>
      <c r="F9" s="2" t="s">
        <v>52</v>
      </c>
      <c r="G9" s="2" t="s">
        <v>26</v>
      </c>
      <c r="H9" s="2" t="s">
        <v>26</v>
      </c>
      <c r="I9" s="2" t="s">
        <v>26</v>
      </c>
      <c r="J9" s="2" t="s">
        <v>70</v>
      </c>
      <c r="K9" s="2" t="s">
        <v>46</v>
      </c>
      <c r="L9" s="2" t="s">
        <v>71</v>
      </c>
      <c r="M9" s="2" t="s">
        <v>26</v>
      </c>
      <c r="N9" s="2">
        <v>172.184</v>
      </c>
      <c r="O9" s="2">
        <v>-0.97929999999999984</v>
      </c>
      <c r="P9" s="2">
        <v>0</v>
      </c>
      <c r="Q9" s="2">
        <v>2</v>
      </c>
      <c r="R9" s="2">
        <v>1</v>
      </c>
      <c r="S9" s="2">
        <v>1</v>
      </c>
      <c r="T9" s="2">
        <v>0</v>
      </c>
      <c r="U9" s="2" t="s">
        <v>26</v>
      </c>
      <c r="V9" s="2" t="s">
        <v>26</v>
      </c>
    </row>
    <row r="10" spans="1:22" ht="51" customHeight="1">
      <c r="A10" s="2"/>
      <c r="B10" s="2" t="s">
        <v>72</v>
      </c>
      <c r="C10" s="2" t="s">
        <v>72</v>
      </c>
      <c r="D10" s="2" t="s">
        <v>73</v>
      </c>
      <c r="E10" s="2" t="s">
        <v>38</v>
      </c>
      <c r="F10" s="2" t="s">
        <v>52</v>
      </c>
      <c r="G10" s="2" t="s">
        <v>26</v>
      </c>
      <c r="H10" s="2" t="s">
        <v>26</v>
      </c>
      <c r="I10" s="2" t="s">
        <v>26</v>
      </c>
      <c r="J10" s="2" t="s">
        <v>74</v>
      </c>
      <c r="K10" s="2" t="s">
        <v>54</v>
      </c>
      <c r="L10" s="2" t="s">
        <v>75</v>
      </c>
      <c r="M10" s="2" t="s">
        <v>56</v>
      </c>
      <c r="N10" s="2">
        <v>250.72599999999997</v>
      </c>
      <c r="O10" s="2">
        <v>0.46709999999999957</v>
      </c>
      <c r="P10" s="2">
        <v>0</v>
      </c>
      <c r="Q10" s="2">
        <v>2</v>
      </c>
      <c r="R10" s="2">
        <v>1</v>
      </c>
      <c r="S10" s="2">
        <v>1</v>
      </c>
      <c r="T10" s="2">
        <v>0</v>
      </c>
      <c r="U10" s="2" t="s">
        <v>26</v>
      </c>
      <c r="V10" s="2" t="s">
        <v>26</v>
      </c>
    </row>
    <row r="11" spans="1:22" ht="51" customHeight="1">
      <c r="A11" s="2"/>
      <c r="B11" s="2" t="s">
        <v>76</v>
      </c>
      <c r="C11" s="2" t="s">
        <v>76</v>
      </c>
      <c r="D11" s="2" t="s">
        <v>77</v>
      </c>
      <c r="E11" s="2" t="s">
        <v>38</v>
      </c>
      <c r="F11" s="2" t="s">
        <v>78</v>
      </c>
      <c r="G11" s="2" t="s">
        <v>26</v>
      </c>
      <c r="H11" s="2" t="s">
        <v>26</v>
      </c>
      <c r="I11" s="2" t="s">
        <v>26</v>
      </c>
      <c r="J11" s="2" t="s">
        <v>79</v>
      </c>
      <c r="K11" s="2" t="s">
        <v>54</v>
      </c>
      <c r="L11" s="2" t="s">
        <v>80</v>
      </c>
      <c r="M11" s="2" t="s">
        <v>26</v>
      </c>
      <c r="N11" s="2">
        <v>243.26299999999995</v>
      </c>
      <c r="O11" s="2">
        <v>-1.474599999999997</v>
      </c>
      <c r="P11" s="2">
        <v>0</v>
      </c>
      <c r="Q11" s="2">
        <v>2</v>
      </c>
      <c r="R11" s="2">
        <v>1</v>
      </c>
      <c r="S11" s="2">
        <v>1</v>
      </c>
      <c r="T11" s="2">
        <v>0</v>
      </c>
      <c r="U11" s="2" t="s">
        <v>26</v>
      </c>
      <c r="V11" s="2" t="s">
        <v>26</v>
      </c>
    </row>
    <row r="12" spans="1:22" ht="51" customHeight="1">
      <c r="B12" s="2" t="s">
        <v>81</v>
      </c>
      <c r="C12" s="2" t="s">
        <v>26</v>
      </c>
      <c r="D12" s="2" t="s">
        <v>82</v>
      </c>
      <c r="E12" s="2" t="s">
        <v>83</v>
      </c>
      <c r="F12" s="2" t="s">
        <v>84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85</v>
      </c>
      <c r="L12" s="2" t="s">
        <v>86</v>
      </c>
      <c r="M12" s="2" t="s">
        <v>26</v>
      </c>
      <c r="N12" s="3">
        <v>129.15900000000002</v>
      </c>
      <c r="O12" s="3">
        <v>7.0600000000000052E-2</v>
      </c>
      <c r="P12" s="2">
        <v>0</v>
      </c>
      <c r="Q12" s="2">
        <v>2</v>
      </c>
      <c r="R12" s="2">
        <v>1</v>
      </c>
      <c r="S12" s="2">
        <v>1</v>
      </c>
      <c r="T12" s="2">
        <v>0</v>
      </c>
      <c r="U12" s="2" t="s">
        <v>26</v>
      </c>
      <c r="V12" s="2" t="s">
        <v>26</v>
      </c>
    </row>
    <row r="13" spans="1:22" ht="51" customHeight="1">
      <c r="B13" s="2" t="s">
        <v>87</v>
      </c>
      <c r="C13" s="2" t="s">
        <v>26</v>
      </c>
      <c r="D13" s="2" t="s">
        <v>88</v>
      </c>
      <c r="E13" s="2" t="s">
        <v>83</v>
      </c>
      <c r="F13" s="2" t="s">
        <v>84</v>
      </c>
      <c r="G13" s="2" t="s">
        <v>26</v>
      </c>
      <c r="H13" s="2" t="s">
        <v>26</v>
      </c>
      <c r="I13" s="2" t="s">
        <v>89</v>
      </c>
      <c r="J13" s="2" t="s">
        <v>26</v>
      </c>
      <c r="K13" s="2" t="s">
        <v>90</v>
      </c>
      <c r="L13" s="2" t="s">
        <v>91</v>
      </c>
      <c r="M13" s="2" t="s">
        <v>26</v>
      </c>
      <c r="N13" s="3">
        <v>123.11099999999996</v>
      </c>
      <c r="O13" s="3">
        <v>0.77980000000000005</v>
      </c>
      <c r="P13" s="2">
        <v>1</v>
      </c>
      <c r="Q13" s="2">
        <v>1</v>
      </c>
      <c r="R13" s="2">
        <v>0</v>
      </c>
      <c r="S13" s="2">
        <v>1</v>
      </c>
      <c r="T13" s="2">
        <v>0</v>
      </c>
      <c r="U13" s="2" t="s">
        <v>26</v>
      </c>
      <c r="V13" s="2" t="s">
        <v>26</v>
      </c>
    </row>
    <row r="14" spans="1:22" ht="51" customHeight="1">
      <c r="B14" s="2" t="s">
        <v>92</v>
      </c>
      <c r="C14" s="2" t="s">
        <v>26</v>
      </c>
      <c r="D14" s="2" t="s">
        <v>93</v>
      </c>
      <c r="E14" s="2" t="s">
        <v>83</v>
      </c>
      <c r="F14" s="2" t="s">
        <v>84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94</v>
      </c>
      <c r="L14" s="2" t="s">
        <v>95</v>
      </c>
      <c r="M14" s="2" t="s">
        <v>26</v>
      </c>
      <c r="N14" s="3">
        <v>111.09999999999998</v>
      </c>
      <c r="O14" s="3">
        <v>0.71289999999999987</v>
      </c>
      <c r="P14" s="2">
        <v>1</v>
      </c>
      <c r="Q14" s="2">
        <v>1</v>
      </c>
      <c r="R14" s="2">
        <v>0</v>
      </c>
      <c r="S14" s="2">
        <v>1</v>
      </c>
      <c r="T14" s="2">
        <v>0</v>
      </c>
      <c r="U14" s="2" t="s">
        <v>26</v>
      </c>
      <c r="V14" s="2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51D1-FD9A-4169-9BD4-7B00DC562C5D}">
  <dimension ref="A1:Z72"/>
  <sheetViews>
    <sheetView topLeftCell="A12" zoomScale="55" zoomScaleNormal="55" workbookViewId="0">
      <selection activeCell="AD26" sqref="AD25:AD26"/>
    </sheetView>
  </sheetViews>
  <sheetFormatPr defaultColWidth="9" defaultRowHeight="15" customHeight="1"/>
  <cols>
    <col min="1" max="1" width="11.28515625" customWidth="1"/>
    <col min="2" max="2" width="10.5703125" customWidth="1"/>
    <col min="3" max="5" width="9.28515625" bestFit="1" customWidth="1"/>
    <col min="6" max="6" width="12.5703125" customWidth="1"/>
    <col min="7" max="7" width="12.85546875" customWidth="1"/>
    <col min="8" max="8" width="11.7109375" customWidth="1"/>
    <col min="9" max="9" width="13.140625" customWidth="1"/>
    <col min="10" max="11" width="9.28515625" bestFit="1" customWidth="1"/>
    <col min="12" max="12" width="10.28515625" bestFit="1" customWidth="1"/>
    <col min="13" max="13" width="9.85546875" bestFit="1" customWidth="1"/>
    <col min="14" max="14" width="10.28515625" bestFit="1" customWidth="1"/>
    <col min="15" max="15" width="9.42578125" bestFit="1" customWidth="1"/>
    <col min="16" max="16" width="10.28515625" bestFit="1" customWidth="1"/>
    <col min="17" max="17" width="9.42578125" bestFit="1" customWidth="1"/>
    <col min="18" max="18" width="10.28515625" bestFit="1" customWidth="1"/>
    <col min="19" max="19" width="9.42578125" bestFit="1" customWidth="1"/>
    <col min="20" max="20" width="10.42578125" customWidth="1"/>
    <col min="21" max="21" width="12.140625" customWidth="1"/>
    <col min="22" max="22" width="12" customWidth="1"/>
    <col min="23" max="23" width="10.42578125" customWidth="1"/>
  </cols>
  <sheetData>
    <row r="1" spans="1:23">
      <c r="E1" s="41"/>
      <c r="F1" s="41"/>
      <c r="G1" s="5" t="s">
        <v>96</v>
      </c>
      <c r="H1" s="5"/>
      <c r="I1" s="29"/>
      <c r="J1" s="38" t="s">
        <v>97</v>
      </c>
      <c r="K1" s="39"/>
      <c r="L1" s="38" t="s">
        <v>98</v>
      </c>
      <c r="M1" s="38"/>
      <c r="N1" s="38"/>
      <c r="O1" s="39"/>
      <c r="P1" s="38" t="s">
        <v>99</v>
      </c>
      <c r="Q1" s="38"/>
      <c r="R1" s="38"/>
      <c r="S1" s="39"/>
      <c r="T1" s="40" t="s">
        <v>100</v>
      </c>
      <c r="U1" s="40"/>
      <c r="V1" s="40"/>
      <c r="W1" s="12"/>
    </row>
    <row r="2" spans="1:23" s="8" customFormat="1" ht="57.75">
      <c r="A2" s="7" t="s">
        <v>1</v>
      </c>
      <c r="B2" s="6" t="s">
        <v>101</v>
      </c>
      <c r="C2" s="6" t="s">
        <v>102</v>
      </c>
      <c r="D2" s="6" t="s">
        <v>103</v>
      </c>
      <c r="E2" s="42" t="s">
        <v>104</v>
      </c>
      <c r="F2" s="44" t="s">
        <v>105</v>
      </c>
      <c r="G2" s="24" t="s">
        <v>106</v>
      </c>
      <c r="H2" s="24" t="s">
        <v>107</v>
      </c>
      <c r="I2" s="30" t="s">
        <v>108</v>
      </c>
      <c r="J2" s="26" t="s">
        <v>109</v>
      </c>
      <c r="K2" s="32" t="s">
        <v>110</v>
      </c>
      <c r="L2" s="26" t="s">
        <v>111</v>
      </c>
      <c r="M2" s="22" t="s">
        <v>112</v>
      </c>
      <c r="N2" s="22" t="s">
        <v>113</v>
      </c>
      <c r="O2" s="32" t="s">
        <v>114</v>
      </c>
      <c r="P2" s="26" t="s">
        <v>111</v>
      </c>
      <c r="Q2" s="22" t="s">
        <v>112</v>
      </c>
      <c r="R2" s="22" t="s">
        <v>113</v>
      </c>
      <c r="S2" s="32" t="s">
        <v>114</v>
      </c>
      <c r="T2" s="19" t="s">
        <v>115</v>
      </c>
      <c r="U2" s="13" t="s">
        <v>116</v>
      </c>
      <c r="V2" s="13" t="s">
        <v>117</v>
      </c>
      <c r="W2" s="37" t="s">
        <v>118</v>
      </c>
    </row>
    <row r="3" spans="1:23">
      <c r="A3" s="17" t="s">
        <v>119</v>
      </c>
      <c r="B3" s="17" t="s">
        <v>22</v>
      </c>
      <c r="C3" s="17">
        <v>25</v>
      </c>
      <c r="D3" s="4">
        <v>164.9</v>
      </c>
      <c r="E3" s="43">
        <v>25.343</v>
      </c>
      <c r="F3" s="45">
        <v>0.106448213804752</v>
      </c>
      <c r="G3" s="25">
        <v>42.4370562354637</v>
      </c>
      <c r="H3" s="25">
        <v>4.3717298990358913</v>
      </c>
      <c r="I3" s="31">
        <v>5.1432516745251391</v>
      </c>
      <c r="J3" s="27">
        <v>99.512278834350397</v>
      </c>
      <c r="K3" s="33">
        <v>0.44929792336281754</v>
      </c>
      <c r="L3" s="27">
        <v>98.987064833949304</v>
      </c>
      <c r="M3" s="23">
        <v>0.50328940768295238</v>
      </c>
      <c r="N3" s="23">
        <v>92.944453128796596</v>
      </c>
      <c r="O3" s="33">
        <v>1.3253821405623623</v>
      </c>
      <c r="P3" s="27">
        <v>99.357875447619278</v>
      </c>
      <c r="Q3" s="23">
        <v>-1.4883081348840366E-2</v>
      </c>
      <c r="R3" s="23">
        <v>77.256412419395801</v>
      </c>
      <c r="S3" s="33">
        <v>4.7138078734162114</v>
      </c>
      <c r="T3" s="20" t="s">
        <v>26</v>
      </c>
      <c r="U3" s="20" t="s">
        <v>26</v>
      </c>
      <c r="V3" s="14">
        <v>0.29320000000000002</v>
      </c>
      <c r="W3" s="35">
        <v>7.2249999999999995E-2</v>
      </c>
    </row>
    <row r="4" spans="1:23">
      <c r="A4" s="17" t="s">
        <v>120</v>
      </c>
      <c r="B4" s="17" t="s">
        <v>30</v>
      </c>
      <c r="C4" s="17">
        <v>25</v>
      </c>
      <c r="D4" s="4">
        <v>159.30000000000001</v>
      </c>
      <c r="E4" s="43">
        <v>24.155999999999999</v>
      </c>
      <c r="F4" s="45">
        <v>0.23384325234367281</v>
      </c>
      <c r="G4" s="25">
        <v>34.463680043243414</v>
      </c>
      <c r="H4" s="25">
        <v>5.740568851518951</v>
      </c>
      <c r="I4" s="31">
        <v>6.8885308382513806</v>
      </c>
      <c r="J4" s="27">
        <v>99.456112645941531</v>
      </c>
      <c r="K4" s="33">
        <v>0.51579609681711036</v>
      </c>
      <c r="L4" s="27">
        <v>99.050230940519683</v>
      </c>
      <c r="M4" s="23">
        <v>0.38729053717955464</v>
      </c>
      <c r="N4" s="23">
        <v>92.04516152775507</v>
      </c>
      <c r="O4" s="33">
        <v>1.7294128512660771</v>
      </c>
      <c r="P4" s="27">
        <v>99.49880235238669</v>
      </c>
      <c r="Q4" s="23">
        <v>-7.3523569649198095E-2</v>
      </c>
      <c r="R4" s="23">
        <v>83.351820318532347</v>
      </c>
      <c r="S4" s="33">
        <v>3.2327982682732093</v>
      </c>
      <c r="T4" s="20" t="s">
        <v>26</v>
      </c>
      <c r="U4" s="20" t="s">
        <v>26</v>
      </c>
      <c r="V4" s="14">
        <v>0.30520000000000003</v>
      </c>
      <c r="W4" s="35">
        <v>5.0080000000000003E-3</v>
      </c>
    </row>
    <row r="5" spans="1:23">
      <c r="A5" s="17" t="s">
        <v>121</v>
      </c>
      <c r="B5" s="17" t="s">
        <v>36</v>
      </c>
      <c r="C5" s="17">
        <v>25</v>
      </c>
      <c r="D5" s="4">
        <v>170.08666666666667</v>
      </c>
      <c r="E5" s="43">
        <v>34.038888888888877</v>
      </c>
      <c r="F5" s="45">
        <v>6.1699190622380037E-2</v>
      </c>
      <c r="G5" s="25">
        <v>37.532535633836559</v>
      </c>
      <c r="H5" s="25">
        <v>4.0316431567964059</v>
      </c>
      <c r="I5" s="31">
        <v>4.626882082906647</v>
      </c>
      <c r="J5" s="27">
        <v>99.443965970200793</v>
      </c>
      <c r="K5" s="33">
        <v>0.50942598036087305</v>
      </c>
      <c r="L5" s="27">
        <v>0</v>
      </c>
      <c r="M5" s="23">
        <v>0</v>
      </c>
      <c r="N5" s="23">
        <v>90.963825792666242</v>
      </c>
      <c r="O5" s="33">
        <v>1.1006445299604151</v>
      </c>
      <c r="P5" s="27">
        <v>90.503110525676149</v>
      </c>
      <c r="Q5" s="23">
        <v>5.3083998256096443E-2</v>
      </c>
      <c r="R5" s="23">
        <v>74.746287199919948</v>
      </c>
      <c r="S5" s="33">
        <v>2.0440014748838213</v>
      </c>
      <c r="T5" s="20" t="s">
        <v>26</v>
      </c>
      <c r="U5" s="20" t="s">
        <v>26</v>
      </c>
      <c r="V5" s="15">
        <v>0.26979999999999998</v>
      </c>
      <c r="W5" s="36">
        <v>1.222E-2</v>
      </c>
    </row>
    <row r="6" spans="1:23">
      <c r="A6" s="17" t="s">
        <v>122</v>
      </c>
      <c r="B6" s="17" t="s">
        <v>43</v>
      </c>
      <c r="C6" s="17">
        <v>25</v>
      </c>
      <c r="D6" s="4">
        <v>160.68333333333334</v>
      </c>
      <c r="E6" s="43">
        <v>22.042222222222222</v>
      </c>
      <c r="F6" s="45">
        <v>5.9483372508107542E-2</v>
      </c>
      <c r="G6" s="25">
        <v>42.286422625710017</v>
      </c>
      <c r="H6" s="25">
        <v>4.8619296411030035</v>
      </c>
      <c r="I6" s="31">
        <v>5.8421334857228544</v>
      </c>
      <c r="J6" s="27">
        <v>99.494768053554537</v>
      </c>
      <c r="K6" s="33">
        <v>0.46582368129175489</v>
      </c>
      <c r="L6" s="27">
        <v>0</v>
      </c>
      <c r="M6" s="23">
        <v>0</v>
      </c>
      <c r="N6" s="23">
        <v>90.286184737696402</v>
      </c>
      <c r="O6" s="33">
        <v>1.0788599625863347</v>
      </c>
      <c r="P6" s="27">
        <v>96.266461948393129</v>
      </c>
      <c r="Q6" s="23">
        <v>-2.4069896290108639E-2</v>
      </c>
      <c r="R6" s="23">
        <v>75.312109333158588</v>
      </c>
      <c r="S6" s="33">
        <v>1.3902248996956326</v>
      </c>
      <c r="T6" s="20" t="s">
        <v>26</v>
      </c>
      <c r="U6" s="20" t="s">
        <v>26</v>
      </c>
      <c r="V6" s="15">
        <v>0.3579</v>
      </c>
      <c r="W6" s="36">
        <v>2.179E-2</v>
      </c>
    </row>
    <row r="7" spans="1:23">
      <c r="A7" s="17" t="s">
        <v>123</v>
      </c>
      <c r="B7" s="17" t="s">
        <v>50</v>
      </c>
      <c r="C7" s="17">
        <v>25</v>
      </c>
      <c r="D7" s="4">
        <v>177.0575</v>
      </c>
      <c r="E7" s="43">
        <v>34.168888888888887</v>
      </c>
      <c r="F7" s="45">
        <v>1.2632018889891711E-2</v>
      </c>
      <c r="G7" s="25">
        <v>49.335601661031227</v>
      </c>
      <c r="H7" s="25">
        <v>2.6960110421360923</v>
      </c>
      <c r="I7" s="31">
        <v>3.0170355275191767</v>
      </c>
      <c r="J7" s="27">
        <v>99.44548658586065</v>
      </c>
      <c r="K7" s="33">
        <v>0.51480547144168354</v>
      </c>
      <c r="L7" s="27">
        <v>0</v>
      </c>
      <c r="M7" s="23">
        <v>0</v>
      </c>
      <c r="N7" s="23">
        <v>90.493575653150955</v>
      </c>
      <c r="O7" s="33">
        <v>1.0684490513902096</v>
      </c>
      <c r="P7" s="27">
        <v>95.789631470816815</v>
      </c>
      <c r="Q7" s="23">
        <v>6.3334044193798178E-2</v>
      </c>
      <c r="R7" s="23">
        <v>74.166435186000868</v>
      </c>
      <c r="S7" s="33">
        <v>2.3783560937624202</v>
      </c>
      <c r="T7" s="20" t="s">
        <v>26</v>
      </c>
      <c r="U7" s="20" t="s">
        <v>26</v>
      </c>
      <c r="V7" s="15">
        <v>0.23449999999999999</v>
      </c>
      <c r="W7" s="36">
        <v>4.4690000000000001E-2</v>
      </c>
    </row>
    <row r="8" spans="1:23">
      <c r="A8" s="17" t="s">
        <v>124</v>
      </c>
      <c r="B8" s="17" t="s">
        <v>57</v>
      </c>
      <c r="C8" s="17">
        <v>25</v>
      </c>
      <c r="D8" s="4">
        <v>166.48500000000001</v>
      </c>
      <c r="E8" s="43">
        <v>30.85222222222222</v>
      </c>
      <c r="F8" s="45">
        <v>4.9435080261832402E-2</v>
      </c>
      <c r="G8" s="25">
        <v>34.731655119770856</v>
      </c>
      <c r="H8" s="25">
        <v>4.7181869274209518</v>
      </c>
      <c r="I8" s="31">
        <v>5.5137161384678954</v>
      </c>
      <c r="J8" s="27">
        <v>99.428280745371993</v>
      </c>
      <c r="K8" s="33">
        <v>0.5323336657858817</v>
      </c>
      <c r="L8" s="27">
        <v>0</v>
      </c>
      <c r="M8" s="23">
        <v>0</v>
      </c>
      <c r="N8" s="23">
        <v>88.460494069104527</v>
      </c>
      <c r="O8" s="33">
        <v>1.4453614666020889</v>
      </c>
      <c r="P8" s="27">
        <v>98.985925039349752</v>
      </c>
      <c r="Q8" s="23">
        <v>5.7380860312322257E-2</v>
      </c>
      <c r="R8" s="23">
        <v>70.230350196622808</v>
      </c>
      <c r="S8" s="33">
        <v>2.4649840885936953</v>
      </c>
      <c r="T8" s="20" t="s">
        <v>26</v>
      </c>
      <c r="U8" s="20" t="s">
        <v>26</v>
      </c>
      <c r="V8" s="15">
        <v>0.26090000000000002</v>
      </c>
      <c r="W8" s="36">
        <v>2.0039999999999999E-2</v>
      </c>
    </row>
    <row r="9" spans="1:23">
      <c r="A9" s="17" t="s">
        <v>125</v>
      </c>
      <c r="B9" s="17" t="s">
        <v>62</v>
      </c>
      <c r="C9" s="17">
        <v>25</v>
      </c>
      <c r="D9" s="4">
        <v>181.7</v>
      </c>
      <c r="E9" s="43">
        <v>40.907777777777781</v>
      </c>
      <c r="F9" s="45">
        <v>2.9144171219120229E-2</v>
      </c>
      <c r="G9" s="25">
        <v>49.218460470238298</v>
      </c>
      <c r="H9" s="25">
        <v>2.2743385489740007</v>
      </c>
      <c r="I9" s="31">
        <v>2.4978272496604106</v>
      </c>
      <c r="J9" s="27">
        <v>99.504433645565655</v>
      </c>
      <c r="K9" s="33">
        <v>0.44553453855700337</v>
      </c>
      <c r="L9" s="27">
        <v>0</v>
      </c>
      <c r="M9" s="23">
        <v>0</v>
      </c>
      <c r="N9" s="23">
        <v>86.314843184693871</v>
      </c>
      <c r="O9" s="33">
        <v>1.7071039602407176</v>
      </c>
      <c r="P9" s="27">
        <v>99.153676619981297</v>
      </c>
      <c r="Q9" s="23">
        <v>4.0853009128110462E-2</v>
      </c>
      <c r="R9" s="23">
        <v>72.68103194397662</v>
      </c>
      <c r="S9" s="33">
        <v>1.6313223702608091</v>
      </c>
      <c r="T9" s="20" t="s">
        <v>26</v>
      </c>
      <c r="U9" s="20" t="s">
        <v>26</v>
      </c>
      <c r="V9" s="15">
        <v>0.2412</v>
      </c>
      <c r="W9" s="36">
        <v>5.7180000000000002E-2</v>
      </c>
    </row>
    <row r="10" spans="1:23">
      <c r="A10" s="17" t="s">
        <v>126</v>
      </c>
      <c r="B10" s="17" t="s">
        <v>68</v>
      </c>
      <c r="C10" s="17">
        <v>25</v>
      </c>
      <c r="D10" s="4">
        <v>170.67666666666668</v>
      </c>
      <c r="E10" s="43">
        <v>32.61</v>
      </c>
      <c r="F10" s="45">
        <v>4.2196629670573672E-2</v>
      </c>
      <c r="G10" s="25">
        <v>40.154802948179167</v>
      </c>
      <c r="H10" s="25">
        <v>3.859014993619347</v>
      </c>
      <c r="I10" s="31">
        <v>4.4292669029521008</v>
      </c>
      <c r="J10" s="27">
        <v>99.589030477775722</v>
      </c>
      <c r="K10" s="33">
        <v>0.3700510154401534</v>
      </c>
      <c r="L10" s="27">
        <v>0</v>
      </c>
      <c r="M10" s="23">
        <v>0</v>
      </c>
      <c r="N10" s="23">
        <v>90.500298829208447</v>
      </c>
      <c r="O10" s="33">
        <v>1.4058117460855071</v>
      </c>
      <c r="P10" s="27">
        <v>96.700643707328084</v>
      </c>
      <c r="Q10" s="23">
        <v>9.5627252556021558E-2</v>
      </c>
      <c r="R10" s="23">
        <v>72.926499682189231</v>
      </c>
      <c r="S10" s="33">
        <v>2.7288646236836875</v>
      </c>
      <c r="T10" s="20" t="s">
        <v>26</v>
      </c>
      <c r="U10" s="20" t="s">
        <v>26</v>
      </c>
      <c r="V10" s="15">
        <v>0.21779999999999999</v>
      </c>
      <c r="W10" s="36">
        <v>3.6299999999999999E-2</v>
      </c>
    </row>
    <row r="11" spans="1:23">
      <c r="A11" s="17" t="s">
        <v>127</v>
      </c>
      <c r="B11" s="17" t="s">
        <v>72</v>
      </c>
      <c r="C11" s="17">
        <v>25</v>
      </c>
      <c r="D11" s="4">
        <v>166.52250000000001</v>
      </c>
      <c r="E11" s="43">
        <v>31.52</v>
      </c>
      <c r="F11" s="45">
        <v>6.6666666666666723E-3</v>
      </c>
      <c r="G11" s="25">
        <v>33.318961084656593</v>
      </c>
      <c r="H11" s="25">
        <v>4.8150768227211671</v>
      </c>
      <c r="I11" s="31">
        <v>5.6278247846536757</v>
      </c>
      <c r="J11" s="27">
        <v>99.512313792701235</v>
      </c>
      <c r="K11" s="33">
        <v>0.45204597703776378</v>
      </c>
      <c r="L11" s="27">
        <v>0</v>
      </c>
      <c r="M11" s="23">
        <v>0</v>
      </c>
      <c r="N11" s="23">
        <v>91.967714325191736</v>
      </c>
      <c r="O11" s="33">
        <v>1.1166134756747945</v>
      </c>
      <c r="P11" s="27">
        <v>95.795647113857598</v>
      </c>
      <c r="Q11" s="23">
        <v>0.15521801735289559</v>
      </c>
      <c r="R11" s="23">
        <v>75.610334590125063</v>
      </c>
      <c r="S11" s="33">
        <v>2.0944884856815049</v>
      </c>
      <c r="T11" s="20" t="s">
        <v>26</v>
      </c>
      <c r="U11" s="20" t="s">
        <v>26</v>
      </c>
      <c r="V11" s="15">
        <v>0.50339999999999996</v>
      </c>
      <c r="W11" s="36">
        <v>0.23139999999999999</v>
      </c>
    </row>
    <row r="12" spans="1:23">
      <c r="A12" s="17" t="s">
        <v>128</v>
      </c>
      <c r="B12" s="17" t="s">
        <v>76</v>
      </c>
      <c r="C12" s="17">
        <v>25</v>
      </c>
      <c r="D12" s="4">
        <v>173.40666666666667</v>
      </c>
      <c r="E12" s="43">
        <v>29.015555555555551</v>
      </c>
      <c r="F12" s="45">
        <v>0.11418930567642591</v>
      </c>
      <c r="G12" s="25">
        <v>52.136312088775448</v>
      </c>
      <c r="H12" s="25">
        <v>2.8391537229755457</v>
      </c>
      <c r="I12" s="31">
        <v>3.213133438380666</v>
      </c>
      <c r="J12" s="27">
        <v>98.982607524826633</v>
      </c>
      <c r="K12" s="33">
        <v>0.97505417755195811</v>
      </c>
      <c r="L12" s="27">
        <v>0</v>
      </c>
      <c r="M12" s="23">
        <v>0</v>
      </c>
      <c r="N12" s="23">
        <v>93.352085369133093</v>
      </c>
      <c r="O12" s="33">
        <v>0.77184667045010658</v>
      </c>
      <c r="P12" s="27">
        <v>98.901528694028272</v>
      </c>
      <c r="Q12" s="23">
        <v>-0.43294330227626465</v>
      </c>
      <c r="R12" s="23">
        <v>77.743886984540993</v>
      </c>
      <c r="S12" s="33">
        <v>3.2473443123675203</v>
      </c>
      <c r="T12" s="20" t="s">
        <v>26</v>
      </c>
      <c r="U12" s="20" t="s">
        <v>26</v>
      </c>
      <c r="V12" s="15">
        <v>0.26290000000000002</v>
      </c>
      <c r="W12" s="36">
        <v>2.8150000000000001E-2</v>
      </c>
    </row>
    <row r="13" spans="1:23">
      <c r="A13" s="17" t="s">
        <v>129</v>
      </c>
      <c r="B13" s="17" t="s">
        <v>81</v>
      </c>
      <c r="C13" s="17">
        <v>25</v>
      </c>
      <c r="D13" s="4">
        <v>162.88666666666666</v>
      </c>
      <c r="E13" s="43">
        <v>27.73</v>
      </c>
      <c r="F13" s="45">
        <v>8.407998837086289E-2</v>
      </c>
      <c r="G13" s="25">
        <v>32.375562636961149</v>
      </c>
      <c r="H13" s="25">
        <v>5.4335958472267265</v>
      </c>
      <c r="I13" s="31">
        <v>6.4667234308113137</v>
      </c>
      <c r="J13" s="27">
        <v>99.402663573561071</v>
      </c>
      <c r="K13" s="33">
        <v>0.55062329959482381</v>
      </c>
      <c r="L13" s="27">
        <v>0</v>
      </c>
      <c r="M13" s="23">
        <v>0</v>
      </c>
      <c r="N13" s="23">
        <v>89.665578328256814</v>
      </c>
      <c r="O13" s="33">
        <v>1.3265602501680127</v>
      </c>
      <c r="P13" s="27">
        <v>95.831864726022332</v>
      </c>
      <c r="Q13" s="23">
        <v>6.1738312425150044E-2</v>
      </c>
      <c r="R13" s="23">
        <v>63.998535591255035</v>
      </c>
      <c r="S13" s="33">
        <v>4.5214850866442324</v>
      </c>
      <c r="T13" s="20" t="s">
        <v>26</v>
      </c>
      <c r="U13" s="20" t="s">
        <v>26</v>
      </c>
      <c r="V13" s="15">
        <v>0.31830000000000003</v>
      </c>
      <c r="W13" s="36">
        <v>0.11509999999999999</v>
      </c>
    </row>
    <row r="14" spans="1:23">
      <c r="A14" s="17" t="s">
        <v>130</v>
      </c>
      <c r="B14" s="17" t="s">
        <v>87</v>
      </c>
      <c r="C14" s="17">
        <v>25</v>
      </c>
      <c r="D14" s="4">
        <v>163.41333333333333</v>
      </c>
      <c r="E14" s="43">
        <v>28.283333333333331</v>
      </c>
      <c r="F14" s="45">
        <v>5.5327308908993053E-2</v>
      </c>
      <c r="G14" s="25">
        <v>33.434380900245664</v>
      </c>
      <c r="H14" s="25">
        <v>5.207254993993395</v>
      </c>
      <c r="I14" s="31">
        <v>6.1701129473974561</v>
      </c>
      <c r="J14" s="27">
        <v>99.430463021407419</v>
      </c>
      <c r="K14" s="33">
        <v>0.52722670850568654</v>
      </c>
      <c r="L14" s="27">
        <v>0</v>
      </c>
      <c r="M14" s="23">
        <v>0</v>
      </c>
      <c r="N14" s="23">
        <v>93.007722641731533</v>
      </c>
      <c r="O14" s="33">
        <v>1.9224729450096099</v>
      </c>
      <c r="P14" s="27">
        <v>99.107630771317559</v>
      </c>
      <c r="Q14" s="23">
        <v>2.7293259933161673E-2</v>
      </c>
      <c r="R14" s="23">
        <v>78.860898426442489</v>
      </c>
      <c r="S14" s="33">
        <v>3.5611536179354735</v>
      </c>
      <c r="T14" s="20" t="s">
        <v>26</v>
      </c>
      <c r="U14" s="20" t="s">
        <v>26</v>
      </c>
      <c r="V14" s="15">
        <v>0.23350000000000001</v>
      </c>
      <c r="W14" s="36">
        <v>4.002E-2</v>
      </c>
    </row>
    <row r="15" spans="1:23">
      <c r="A15" s="17" t="s">
        <v>131</v>
      </c>
      <c r="B15" s="17" t="s">
        <v>92</v>
      </c>
      <c r="C15" s="17">
        <v>25</v>
      </c>
      <c r="D15" s="4">
        <v>173.93</v>
      </c>
      <c r="E15" s="43">
        <v>26.867777777777778</v>
      </c>
      <c r="F15" s="45">
        <v>2.904870324978084E-2</v>
      </c>
      <c r="G15" s="25">
        <v>55.679258735493576</v>
      </c>
      <c r="H15" s="25">
        <v>2.6044799618596173</v>
      </c>
      <c r="I15" s="31">
        <v>2.9507771012565627</v>
      </c>
      <c r="J15" s="27">
        <v>99.407814405799414</v>
      </c>
      <c r="K15" s="33">
        <v>0.552206114936315</v>
      </c>
      <c r="L15" s="27">
        <v>0</v>
      </c>
      <c r="M15" s="23">
        <v>0</v>
      </c>
      <c r="N15" s="23">
        <v>93.078519155424416</v>
      </c>
      <c r="O15" s="33">
        <v>1.9979121673127165</v>
      </c>
      <c r="P15" s="27">
        <v>99.500152143146394</v>
      </c>
      <c r="Q15" s="23">
        <v>-0.13994961609920914</v>
      </c>
      <c r="R15" s="23">
        <v>80.578693765509925</v>
      </c>
      <c r="S15" s="33">
        <v>4.476466011152727</v>
      </c>
      <c r="T15" s="20" t="s">
        <v>26</v>
      </c>
      <c r="U15" s="20" t="s">
        <v>26</v>
      </c>
      <c r="V15" s="15">
        <v>0.25580000000000003</v>
      </c>
      <c r="W15" s="36">
        <v>2.7740000000000001E-2</v>
      </c>
    </row>
    <row r="16" spans="1:23">
      <c r="A16" s="17" t="s">
        <v>132</v>
      </c>
      <c r="B16" s="17" t="s">
        <v>22</v>
      </c>
      <c r="C16" s="17">
        <v>50</v>
      </c>
      <c r="D16" s="4">
        <v>168.08</v>
      </c>
      <c r="E16" s="43">
        <v>15.514444444444401</v>
      </c>
      <c r="F16" s="45">
        <v>8.7907779961603996E-2</v>
      </c>
      <c r="G16" s="25">
        <v>48.918135344832301</v>
      </c>
      <c r="H16" s="25">
        <v>0.63948689023209937</v>
      </c>
      <c r="I16" s="31">
        <v>0.63993834230050339</v>
      </c>
      <c r="J16" s="27">
        <v>99.731044095266768</v>
      </c>
      <c r="K16" s="33">
        <v>0.2689559047332305</v>
      </c>
      <c r="L16" s="27">
        <v>99.691994082751734</v>
      </c>
      <c r="M16" s="23">
        <v>3.9050012515032206E-2</v>
      </c>
      <c r="N16" s="23">
        <v>95.627616609260954</v>
      </c>
      <c r="O16" s="33">
        <v>0.58629515158390533</v>
      </c>
      <c r="P16" s="27">
        <v>99.584875968459315</v>
      </c>
      <c r="Q16" s="23">
        <v>0.11121012591818435</v>
      </c>
      <c r="R16" s="23">
        <v>84.704408203872731</v>
      </c>
      <c r="S16" s="33">
        <v>3.4064252002541471</v>
      </c>
      <c r="T16" s="21">
        <v>-12.730411369083656</v>
      </c>
      <c r="U16" s="16">
        <v>-3.6365238820302579E-5</v>
      </c>
      <c r="V16" s="15">
        <v>6.0490000000000002E-2</v>
      </c>
      <c r="W16" s="36">
        <v>2.1329999999999998E-2</v>
      </c>
    </row>
    <row r="17" spans="1:25">
      <c r="A17" s="17" t="s">
        <v>133</v>
      </c>
      <c r="B17" s="17" t="s">
        <v>22</v>
      </c>
      <c r="C17" s="17">
        <v>100</v>
      </c>
      <c r="D17" s="4">
        <v>167.1</v>
      </c>
      <c r="E17" s="43">
        <v>13.571111111111099</v>
      </c>
      <c r="F17" s="45">
        <v>2.4209731743890101E-2</v>
      </c>
      <c r="G17" s="25">
        <v>53.660564780206499</v>
      </c>
      <c r="H17" s="25">
        <v>0.18223242769300896</v>
      </c>
      <c r="I17" s="31">
        <v>0.18226583402879726</v>
      </c>
      <c r="J17" s="27">
        <v>99.718717893045792</v>
      </c>
      <c r="K17" s="33">
        <v>0.28128210695419925</v>
      </c>
      <c r="L17" s="27">
        <v>99.710981053761557</v>
      </c>
      <c r="M17" s="23">
        <v>7.7368392842521172E-3</v>
      </c>
      <c r="N17" s="23">
        <v>95.945711181478103</v>
      </c>
      <c r="O17" s="33">
        <v>0.29445421921584464</v>
      </c>
      <c r="P17" s="27">
        <v>99.603347071620249</v>
      </c>
      <c r="Q17" s="23">
        <v>8.8308790597468267E-2</v>
      </c>
      <c r="R17" s="23">
        <v>84.920641487185335</v>
      </c>
      <c r="S17" s="33">
        <v>2.6147245095724991</v>
      </c>
      <c r="T17" s="21">
        <v>-9.7222041397767995</v>
      </c>
      <c r="U17" s="16">
        <v>3.153373316982008E-5</v>
      </c>
      <c r="V17" s="15">
        <v>9.4549999999999995E-2</v>
      </c>
      <c r="W17" s="36">
        <v>1.883E-2</v>
      </c>
    </row>
    <row r="18" spans="1:25">
      <c r="A18" s="17" t="s">
        <v>134</v>
      </c>
      <c r="B18" s="17" t="s">
        <v>22</v>
      </c>
      <c r="C18" s="17">
        <v>200</v>
      </c>
      <c r="D18" s="4">
        <v>169.34666666666669</v>
      </c>
      <c r="E18" s="43">
        <v>15.52</v>
      </c>
      <c r="F18" s="45">
        <v>9.3407708461346897E-2</v>
      </c>
      <c r="G18" s="25">
        <v>51.247798030390499</v>
      </c>
      <c r="H18" s="25">
        <v>0.64746730816130338</v>
      </c>
      <c r="I18" s="31">
        <v>0.64791009429929147</v>
      </c>
      <c r="J18" s="27">
        <v>99.712374937950983</v>
      </c>
      <c r="K18" s="33">
        <v>0.28762506204902444</v>
      </c>
      <c r="L18" s="27">
        <v>99.723678673628271</v>
      </c>
      <c r="M18" s="23">
        <v>-1.1303735677295867E-2</v>
      </c>
      <c r="N18" s="23">
        <v>96.227082299766792</v>
      </c>
      <c r="O18" s="33">
        <v>0.2160340487231644</v>
      </c>
      <c r="P18" s="27">
        <v>99.570804345739631</v>
      </c>
      <c r="Q18" s="23">
        <v>0.11103514531777048</v>
      </c>
      <c r="R18" s="23">
        <v>86.804760275287592</v>
      </c>
      <c r="S18" s="33">
        <v>2.2391492964685131</v>
      </c>
      <c r="T18" s="21">
        <v>-6.6394531771797638</v>
      </c>
      <c r="U18" s="16">
        <v>8.7831784145084466E-6</v>
      </c>
      <c r="V18" s="15">
        <v>9.7850000000000006E-2</v>
      </c>
      <c r="W18" s="36">
        <v>3.2969999999999999E-2</v>
      </c>
    </row>
    <row r="19" spans="1:25">
      <c r="A19" s="17" t="s">
        <v>135</v>
      </c>
      <c r="B19" s="17" t="s">
        <v>30</v>
      </c>
      <c r="C19" s="17">
        <v>50</v>
      </c>
      <c r="D19" s="4">
        <v>174.96</v>
      </c>
      <c r="E19" s="43">
        <v>29.477777777777799</v>
      </c>
      <c r="F19" s="45">
        <v>0.60829223605471405</v>
      </c>
      <c r="G19" s="25">
        <v>24.825769699207601</v>
      </c>
      <c r="H19" s="25">
        <v>3.4751096241741983</v>
      </c>
      <c r="I19" s="31">
        <v>3.4941960451836955</v>
      </c>
      <c r="J19" s="27">
        <v>99.698239382233496</v>
      </c>
      <c r="K19" s="33">
        <v>0.30176061776650642</v>
      </c>
      <c r="L19" s="27">
        <v>99.648706607275329</v>
      </c>
      <c r="M19" s="23">
        <v>4.9532774958155223E-2</v>
      </c>
      <c r="N19" s="23">
        <v>93.609435359826776</v>
      </c>
      <c r="O19" s="33">
        <v>1.3418179121628526</v>
      </c>
      <c r="P19" s="27">
        <v>98.422575006364582</v>
      </c>
      <c r="Q19" s="23">
        <v>1.2438042469878203</v>
      </c>
      <c r="R19" s="23">
        <v>83.433711393869373</v>
      </c>
      <c r="S19" s="33">
        <v>4.4470890369840292</v>
      </c>
      <c r="T19" s="21">
        <v>-10.747351061584483</v>
      </c>
      <c r="U19" s="16">
        <v>5.5032297117595444E-5</v>
      </c>
      <c r="V19" s="15">
        <v>0.1452</v>
      </c>
      <c r="W19" s="36">
        <v>5.5730000000000002E-2</v>
      </c>
    </row>
    <row r="20" spans="1:25">
      <c r="A20" s="17" t="s">
        <v>136</v>
      </c>
      <c r="B20" s="17" t="s">
        <v>30</v>
      </c>
      <c r="C20" s="17">
        <v>100</v>
      </c>
      <c r="D20" s="4">
        <v>164.5166667</v>
      </c>
      <c r="E20" s="43">
        <v>23.966666666666701</v>
      </c>
      <c r="F20" s="45">
        <v>0.22638462845343599</v>
      </c>
      <c r="G20" s="25">
        <v>9.9247818421854035</v>
      </c>
      <c r="H20" s="25">
        <v>1.932165471189796</v>
      </c>
      <c r="I20" s="31">
        <v>1.9390446798702055</v>
      </c>
      <c r="J20" s="27">
        <v>99.652378624656535</v>
      </c>
      <c r="K20" s="33">
        <v>0.34762137534346699</v>
      </c>
      <c r="L20" s="27">
        <v>99.646210380885776</v>
      </c>
      <c r="M20" s="23">
        <v>6.1682437707491489E-3</v>
      </c>
      <c r="N20" s="23">
        <v>98.598093839843983</v>
      </c>
      <c r="O20" s="33">
        <v>0.40449020972551269</v>
      </c>
      <c r="P20" s="27">
        <v>99.391147911632885</v>
      </c>
      <c r="Q20" s="23">
        <v>0.22469480527034563</v>
      </c>
      <c r="R20" s="23">
        <v>86.459199331281198</v>
      </c>
      <c r="S20" s="33">
        <v>3.0937243608928013</v>
      </c>
      <c r="T20" s="21">
        <v>-11.894550722264855</v>
      </c>
      <c r="U20" s="16"/>
      <c r="V20" s="15">
        <v>0.13650000000000001</v>
      </c>
      <c r="W20" s="36">
        <v>5.5010000000000003E-2</v>
      </c>
    </row>
    <row r="21" spans="1:25">
      <c r="A21" s="17" t="s">
        <v>137</v>
      </c>
      <c r="B21" s="17" t="s">
        <v>30</v>
      </c>
      <c r="C21" s="17">
        <v>200</v>
      </c>
      <c r="D21" s="4">
        <v>170.86666666666667</v>
      </c>
      <c r="E21" s="43">
        <v>25.265555555555601</v>
      </c>
      <c r="F21" s="45">
        <v>0.23415332109064299</v>
      </c>
      <c r="G21" s="25">
        <v>24.990239605228805</v>
      </c>
      <c r="H21" s="25">
        <v>1.5593752254764972</v>
      </c>
      <c r="I21" s="31">
        <v>1.563199373359506</v>
      </c>
      <c r="J21" s="27">
        <v>99.66274485113766</v>
      </c>
      <c r="K21" s="33">
        <v>0.33725514886234276</v>
      </c>
      <c r="L21" s="27">
        <v>99.636683077561855</v>
      </c>
      <c r="M21" s="23">
        <v>2.6061773575805358E-2</v>
      </c>
      <c r="N21" s="23">
        <v>94.600400043579427</v>
      </c>
      <c r="O21" s="33">
        <v>0.99362314871548696</v>
      </c>
      <c r="P21" s="27">
        <v>99.511027370197013</v>
      </c>
      <c r="Q21" s="23">
        <v>0.11926050230232338</v>
      </c>
      <c r="R21" s="23">
        <v>80.190732310104579</v>
      </c>
      <c r="S21" s="33">
        <v>4.5707410259608343</v>
      </c>
      <c r="T21" s="21">
        <v>-7.6489177112927837</v>
      </c>
      <c r="U21" s="16">
        <v>-1.527241342471147E-5</v>
      </c>
      <c r="V21" s="15">
        <v>0.15459999999999999</v>
      </c>
      <c r="W21" s="36">
        <v>5.3690000000000002E-2</v>
      </c>
    </row>
    <row r="22" spans="1:25">
      <c r="A22" s="17" t="s">
        <v>138</v>
      </c>
      <c r="B22" s="17" t="s">
        <v>50</v>
      </c>
      <c r="C22" s="17">
        <v>50</v>
      </c>
      <c r="D22" s="4">
        <v>170.54</v>
      </c>
      <c r="E22" s="43">
        <v>17.351111111111098</v>
      </c>
      <c r="F22" s="45">
        <v>0.21882895400543101</v>
      </c>
      <c r="G22" s="25">
        <v>47.858383742897701</v>
      </c>
      <c r="H22" s="25">
        <v>1.453095650792406</v>
      </c>
      <c r="I22" s="31">
        <v>1.4554743837762985</v>
      </c>
      <c r="J22" s="27">
        <v>99.670594393204198</v>
      </c>
      <c r="K22" s="33">
        <v>0.32940560679580738</v>
      </c>
      <c r="L22" s="27">
        <v>99.657266983191718</v>
      </c>
      <c r="M22" s="23">
        <v>1.3327410012466179E-2</v>
      </c>
      <c r="N22" s="23">
        <v>95.265630646446965</v>
      </c>
      <c r="O22" s="33">
        <v>0.34512906574709162</v>
      </c>
      <c r="P22" s="27">
        <v>99.556960257423242</v>
      </c>
      <c r="Q22" s="23">
        <v>8.1476186329926537E-2</v>
      </c>
      <c r="R22" s="23">
        <v>84.9527535685</v>
      </c>
      <c r="S22" s="33">
        <v>3.6035330274115354</v>
      </c>
      <c r="T22" s="21">
        <v>-10.888164679912881</v>
      </c>
      <c r="U22" s="16">
        <v>1.3135509579363017E-5</v>
      </c>
      <c r="V22" s="15">
        <v>0.20469999999999999</v>
      </c>
      <c r="W22" s="36">
        <v>8.1869999999999998E-2</v>
      </c>
    </row>
    <row r="23" spans="1:25">
      <c r="A23" s="17" t="s">
        <v>139</v>
      </c>
      <c r="B23" s="17" t="s">
        <v>50</v>
      </c>
      <c r="C23" s="17">
        <v>100</v>
      </c>
      <c r="D23" s="4">
        <v>180.31</v>
      </c>
      <c r="E23" s="43">
        <v>19.522222222222201</v>
      </c>
      <c r="F23" s="45">
        <v>0.13854401627080301</v>
      </c>
      <c r="G23" s="25">
        <v>59.184783496458593</v>
      </c>
      <c r="H23" s="25">
        <v>0.63673826945031209</v>
      </c>
      <c r="I23" s="31">
        <v>0.63709952340668963</v>
      </c>
      <c r="J23" s="27">
        <v>99.658703781211102</v>
      </c>
      <c r="K23" s="33">
        <v>0.34129621878888422</v>
      </c>
      <c r="L23" s="27">
        <v>99.606151079810061</v>
      </c>
      <c r="M23" s="23">
        <v>5.2552701401057389E-2</v>
      </c>
      <c r="N23" s="23">
        <v>94.409104601322042</v>
      </c>
      <c r="O23" s="33">
        <v>0.52234552383574062</v>
      </c>
      <c r="P23" s="27">
        <v>99.57830501530438</v>
      </c>
      <c r="Q23" s="23">
        <v>5.1495118226619008E-2</v>
      </c>
      <c r="R23" s="23">
        <v>83.619946660215888</v>
      </c>
      <c r="S23" s="33">
        <v>4.184280792101033</v>
      </c>
      <c r="T23" s="21">
        <v>-7.986475440379575</v>
      </c>
      <c r="U23" s="16">
        <v>1.4507436304930942E-5</v>
      </c>
      <c r="V23" s="15">
        <v>0.16880000000000001</v>
      </c>
      <c r="W23" s="36">
        <v>8.6690000000000003E-2</v>
      </c>
    </row>
    <row r="24" spans="1:25">
      <c r="A24" s="17" t="s">
        <v>140</v>
      </c>
      <c r="B24" s="17" t="s">
        <v>50</v>
      </c>
      <c r="C24" s="17">
        <v>200</v>
      </c>
      <c r="D24" s="4">
        <v>176.48666666666668</v>
      </c>
      <c r="E24" s="43">
        <v>27.6522222222222</v>
      </c>
      <c r="F24" s="45">
        <v>4.6037424389777502E-2</v>
      </c>
      <c r="G24" s="25">
        <v>33.367949384940701</v>
      </c>
      <c r="H24" s="25">
        <v>0.24755100913689887</v>
      </c>
      <c r="I24" s="31">
        <v>0.24763751371930454</v>
      </c>
      <c r="J24" s="27">
        <v>99.658901242036592</v>
      </c>
      <c r="K24" s="33">
        <v>0.3410987579634045</v>
      </c>
      <c r="L24" s="27">
        <v>99.673016238623433</v>
      </c>
      <c r="M24" s="23">
        <v>-1.4114996586838346E-2</v>
      </c>
      <c r="N24" s="23">
        <v>95.226263076154666</v>
      </c>
      <c r="O24" s="33">
        <v>0.32845991337192881</v>
      </c>
      <c r="P24" s="27">
        <v>99.559053638297542</v>
      </c>
      <c r="Q24" s="23">
        <v>6.2786945734866428E-2</v>
      </c>
      <c r="R24" s="23">
        <v>86.723374240838496</v>
      </c>
      <c r="S24" s="33">
        <v>2.5406637295874677</v>
      </c>
      <c r="T24" s="21">
        <v>-7.0644560737464781</v>
      </c>
      <c r="U24" s="16">
        <v>1.598866398642467E-5</v>
      </c>
      <c r="V24" s="15">
        <v>0.14799999999999999</v>
      </c>
      <c r="W24" s="36">
        <v>5.9299999999999999E-2</v>
      </c>
    </row>
    <row r="25" spans="1:25">
      <c r="A25" s="17" t="s">
        <v>141</v>
      </c>
      <c r="B25" s="17" t="s">
        <v>87</v>
      </c>
      <c r="C25" s="17">
        <v>50</v>
      </c>
      <c r="D25" s="4">
        <v>165.29</v>
      </c>
      <c r="E25" s="43">
        <v>18.265555555555601</v>
      </c>
      <c r="F25" s="45">
        <v>0.10063686092967</v>
      </c>
      <c r="G25" s="25">
        <v>33.294945262603505</v>
      </c>
      <c r="H25" s="25">
        <v>0.8198445752617971</v>
      </c>
      <c r="I25" s="31">
        <v>0.82079508168150284</v>
      </c>
      <c r="J25" s="27">
        <v>99.712334537899167</v>
      </c>
      <c r="K25" s="33">
        <v>0.28766546210083538</v>
      </c>
      <c r="L25" s="27">
        <v>99.609417272015392</v>
      </c>
      <c r="M25" s="23">
        <v>0.1029172658837707</v>
      </c>
      <c r="N25" s="23">
        <v>97.514646224778829</v>
      </c>
      <c r="O25" s="33">
        <v>1.401782995956083</v>
      </c>
      <c r="P25" s="27">
        <v>99.561563083699667</v>
      </c>
      <c r="Q25" s="23">
        <v>0.11567684489885427</v>
      </c>
      <c r="R25" s="23">
        <v>87.049646232004875</v>
      </c>
      <c r="S25" s="33">
        <v>5.1012714549719691</v>
      </c>
      <c r="T25" s="21">
        <v>-9.7241232840611538</v>
      </c>
      <c r="U25" s="16"/>
      <c r="V25" s="15">
        <v>0.157</v>
      </c>
      <c r="W25" s="36">
        <v>5.849E-2</v>
      </c>
    </row>
    <row r="26" spans="1:25">
      <c r="A26" s="17" t="s">
        <v>142</v>
      </c>
      <c r="B26" s="17" t="s">
        <v>87</v>
      </c>
      <c r="C26" s="17">
        <v>100</v>
      </c>
      <c r="D26" s="4">
        <v>162.83166666666665</v>
      </c>
      <c r="E26" s="43">
        <v>18.973333333333301</v>
      </c>
      <c r="F26" s="45">
        <v>0.175356779167501</v>
      </c>
      <c r="G26" s="25">
        <v>24.087038929189596</v>
      </c>
      <c r="H26" s="25">
        <v>1.5749060583867056</v>
      </c>
      <c r="I26" s="31">
        <v>1.578848309214397</v>
      </c>
      <c r="J26" s="27">
        <v>99.704775149928238</v>
      </c>
      <c r="K26" s="33">
        <v>0.29522485007176552</v>
      </c>
      <c r="L26" s="27">
        <v>99.589797209956856</v>
      </c>
      <c r="M26" s="23">
        <v>8.0504072307666485E-2</v>
      </c>
      <c r="N26" s="23">
        <v>95.98472514389421</v>
      </c>
      <c r="O26" s="33">
        <v>0.66996571522569859</v>
      </c>
      <c r="P26" s="27">
        <v>99.622034565832593</v>
      </c>
      <c r="Q26" s="23">
        <v>4.5873522280252821E-2</v>
      </c>
      <c r="R26" s="23">
        <v>87.051408571376541</v>
      </c>
      <c r="S26" s="33">
        <v>5.3580951413969906</v>
      </c>
      <c r="T26" s="21">
        <v>-9.0481229147564264</v>
      </c>
      <c r="U26" s="16">
        <v>-5.3140140246453004E-5</v>
      </c>
      <c r="V26" s="15">
        <v>7.7810000000000004E-2</v>
      </c>
      <c r="W26" s="36">
        <v>3.909E-2</v>
      </c>
    </row>
    <row r="27" spans="1:25">
      <c r="A27" s="17" t="s">
        <v>143</v>
      </c>
      <c r="B27" s="17" t="s">
        <v>87</v>
      </c>
      <c r="C27" s="17">
        <v>200</v>
      </c>
      <c r="D27" s="4">
        <v>167.67999999999998</v>
      </c>
      <c r="E27" s="43">
        <v>16.433333333333302</v>
      </c>
      <c r="F27" s="45">
        <v>0.14543039572249</v>
      </c>
      <c r="G27" s="25">
        <v>45.082959664320597</v>
      </c>
      <c r="H27" s="25">
        <v>1.0758223082312028</v>
      </c>
      <c r="I27" s="31">
        <v>1.0771907085231973</v>
      </c>
      <c r="J27" s="27">
        <v>99.693338993706746</v>
      </c>
      <c r="K27" s="33">
        <v>0.30666100629325271</v>
      </c>
      <c r="L27" s="27">
        <v>99.608836904125738</v>
      </c>
      <c r="M27" s="23">
        <v>7.4870750162419841E-2</v>
      </c>
      <c r="N27" s="23">
        <v>95.826703819268502</v>
      </c>
      <c r="O27" s="33">
        <v>0.73418037701831262</v>
      </c>
      <c r="P27" s="27">
        <v>99.560899755235909</v>
      </c>
      <c r="Q27" s="23">
        <v>9.3425713327725479E-2</v>
      </c>
      <c r="R27" s="23">
        <v>88.40847285416433</v>
      </c>
      <c r="S27" s="33">
        <v>4.3811181094653904</v>
      </c>
      <c r="T27" s="21">
        <v>-7.9287743424068973</v>
      </c>
      <c r="U27" s="16">
        <v>-8.449296443963398E-5</v>
      </c>
      <c r="V27" s="15">
        <v>6.8890000000000007E-2</v>
      </c>
      <c r="W27" s="36">
        <v>3.0710000000000001E-2</v>
      </c>
    </row>
    <row r="28" spans="1:25">
      <c r="A28" s="17" t="s">
        <v>144</v>
      </c>
      <c r="B28" s="17" t="s">
        <v>92</v>
      </c>
      <c r="C28" s="17">
        <v>50</v>
      </c>
      <c r="D28" s="4">
        <v>159.62666666666667</v>
      </c>
      <c r="E28" s="43">
        <v>16.196666666666701</v>
      </c>
      <c r="F28" s="45">
        <v>4.7696960070846603E-2</v>
      </c>
      <c r="G28" s="25">
        <v>27.006171812255499</v>
      </c>
      <c r="H28" s="25">
        <v>0.48183747051719905</v>
      </c>
      <c r="I28" s="31">
        <v>0.48219327951619917</v>
      </c>
      <c r="J28" s="27">
        <v>99.677829067259097</v>
      </c>
      <c r="K28" s="33">
        <v>0.32217093274089659</v>
      </c>
      <c r="L28" s="27">
        <v>99.626541533312803</v>
      </c>
      <c r="M28" s="23">
        <v>5.1287533946295538E-2</v>
      </c>
      <c r="N28" s="23">
        <v>95.128813751729126</v>
      </c>
      <c r="O28" s="33">
        <v>1.0214821481963872</v>
      </c>
      <c r="P28" s="27">
        <v>99.612911574443288</v>
      </c>
      <c r="Q28" s="23">
        <v>3.8708239393287325E-2</v>
      </c>
      <c r="R28" s="23">
        <v>86.446113898458748</v>
      </c>
      <c r="S28" s="33">
        <v>5.0717472782589299</v>
      </c>
      <c r="T28" s="21">
        <v>-16.467907364814781</v>
      </c>
      <c r="U28" s="16"/>
      <c r="V28" s="15">
        <v>0.1497</v>
      </c>
      <c r="W28" s="36">
        <v>7.9579999999999998E-2</v>
      </c>
    </row>
    <row r="29" spans="1:25">
      <c r="A29" s="17" t="s">
        <v>145</v>
      </c>
      <c r="B29" s="17" t="s">
        <v>92</v>
      </c>
      <c r="C29" s="17">
        <v>100</v>
      </c>
      <c r="D29" s="4">
        <v>164.73333333333335</v>
      </c>
      <c r="E29" s="43">
        <v>15.918888888888899</v>
      </c>
      <c r="F29" s="45">
        <v>0.178426766801147</v>
      </c>
      <c r="G29" s="25">
        <v>40.650621390017506</v>
      </c>
      <c r="H29" s="25">
        <v>1.4761064197529947</v>
      </c>
      <c r="I29" s="31">
        <v>1.4788770623610077</v>
      </c>
      <c r="J29" s="27">
        <v>99.688753744354443</v>
      </c>
      <c r="K29" s="33">
        <v>0.31124625564555569</v>
      </c>
      <c r="L29" s="27">
        <v>99.627181746106118</v>
      </c>
      <c r="M29" s="23">
        <v>3.7993413913406437E-2</v>
      </c>
      <c r="N29" s="23">
        <v>95.529658573168163</v>
      </c>
      <c r="O29" s="33">
        <v>0.8014251349306849</v>
      </c>
      <c r="P29" s="27">
        <v>99.630254385759358</v>
      </c>
      <c r="Q29" s="23">
        <v>2.4464331678426765E-2</v>
      </c>
      <c r="R29" s="23">
        <v>88.93649806759862</v>
      </c>
      <c r="S29" s="33">
        <v>4.320137726431013</v>
      </c>
      <c r="T29" s="21">
        <v>-9.2144211835527816</v>
      </c>
      <c r="U29" s="16">
        <v>-1.2803724920304165E-5</v>
      </c>
      <c r="V29" s="15">
        <v>8.763E-2</v>
      </c>
      <c r="W29" s="36">
        <v>6.1179999999999998E-2</v>
      </c>
    </row>
    <row r="30" spans="1:25">
      <c r="A30" s="17" t="s">
        <v>146</v>
      </c>
      <c r="B30" s="17" t="s">
        <v>92</v>
      </c>
      <c r="C30" s="17">
        <v>200</v>
      </c>
      <c r="D30" s="4">
        <v>164.94666666666666</v>
      </c>
      <c r="E30" s="43">
        <v>15.436666666666699</v>
      </c>
      <c r="F30" s="45">
        <v>0.18083141320025201</v>
      </c>
      <c r="G30" s="25">
        <v>42.902584987522893</v>
      </c>
      <c r="H30" s="25">
        <v>1.4821566669392112</v>
      </c>
      <c r="I30" s="31">
        <v>1.4848514736667866</v>
      </c>
      <c r="J30" s="27">
        <v>99.658986678727928</v>
      </c>
      <c r="K30" s="33">
        <v>0.34101332127207284</v>
      </c>
      <c r="L30" s="27">
        <v>99.514591521463828</v>
      </c>
      <c r="M30" s="23">
        <v>0.14439515726410862</v>
      </c>
      <c r="N30" s="23">
        <v>95.43953059885969</v>
      </c>
      <c r="O30" s="33">
        <v>1.1038907077878228</v>
      </c>
      <c r="P30" s="27">
        <v>99.539394452844576</v>
      </c>
      <c r="Q30" s="23">
        <v>8.5171596074487266E-2</v>
      </c>
      <c r="R30" s="23">
        <v>81.346002806547915</v>
      </c>
      <c r="S30" s="33">
        <v>8.4704478300683643</v>
      </c>
      <c r="T30" s="21">
        <v>-11.138835147090489</v>
      </c>
      <c r="U30" s="16">
        <v>-5.7229277238872386E-5</v>
      </c>
      <c r="V30" s="15">
        <v>0.13689999999999999</v>
      </c>
      <c r="W30" s="36">
        <v>5.8009999999999999E-2</v>
      </c>
    </row>
    <row r="31" spans="1:25">
      <c r="A31" s="17" t="s">
        <v>147</v>
      </c>
      <c r="B31" s="17" t="s">
        <v>148</v>
      </c>
      <c r="C31" s="17" t="s">
        <v>149</v>
      </c>
      <c r="D31" s="4">
        <v>176.98666666666665</v>
      </c>
      <c r="E31" s="43">
        <v>32.207500000000003</v>
      </c>
      <c r="F31" s="45">
        <v>8.9209491273820204E-2</v>
      </c>
      <c r="G31" s="25">
        <v>23.819034218169499</v>
      </c>
      <c r="H31" s="25">
        <v>0.53345509487710174</v>
      </c>
      <c r="I31" s="31">
        <v>0.5344033921532052</v>
      </c>
      <c r="J31" s="27">
        <v>99.618317361736715</v>
      </c>
      <c r="K31" s="33">
        <v>0.36837936019324308</v>
      </c>
      <c r="L31" s="27">
        <v>99.594688627608519</v>
      </c>
      <c r="M31" s="23">
        <v>4.1620639806756898E-2</v>
      </c>
      <c r="N31" s="23">
        <v>96.033554120030914</v>
      </c>
      <c r="O31" s="33">
        <v>0.57162063980675692</v>
      </c>
      <c r="P31" s="27">
        <v>99.805176717286841</v>
      </c>
      <c r="Q31" s="23">
        <v>-0.20521249303189926</v>
      </c>
      <c r="R31" s="23">
        <v>85.233492934238754</v>
      </c>
      <c r="S31" s="33">
        <v>3.5554605027364539</v>
      </c>
      <c r="T31" s="21">
        <v>-14.127620411647612</v>
      </c>
      <c r="U31" s="16">
        <v>-1.8415068582118868E-5</v>
      </c>
      <c r="V31" s="14">
        <v>0.16059999999999999</v>
      </c>
      <c r="W31" s="35">
        <v>0.15060000000000001</v>
      </c>
      <c r="Y31" s="46"/>
    </row>
    <row r="32" spans="1:25">
      <c r="A32" s="17" t="s">
        <v>150</v>
      </c>
      <c r="B32" s="17" t="s">
        <v>151</v>
      </c>
      <c r="C32" s="17" t="s">
        <v>149</v>
      </c>
      <c r="D32" s="4">
        <v>160.06</v>
      </c>
      <c r="E32" s="43">
        <v>16.922222222222199</v>
      </c>
      <c r="F32" s="45">
        <v>6.8150161000869597E-2</v>
      </c>
      <c r="G32" s="25">
        <v>24.953685998354402</v>
      </c>
      <c r="H32" s="25">
        <v>0.67843577024049395</v>
      </c>
      <c r="I32" s="31">
        <v>0.67915893375970526</v>
      </c>
      <c r="J32" s="27">
        <v>99.577165112879428</v>
      </c>
      <c r="K32" s="33">
        <v>0.42283488712056899</v>
      </c>
      <c r="L32" s="27">
        <v>99.564033534110735</v>
      </c>
      <c r="M32" s="23">
        <v>1.716511287943101E-2</v>
      </c>
      <c r="N32" s="23">
        <v>95.528198428706716</v>
      </c>
      <c r="O32" s="33">
        <v>0.81716511287943105</v>
      </c>
      <c r="P32" s="27">
        <v>99.840941012321736</v>
      </c>
      <c r="Q32" s="23">
        <v>-0.29559093823132065</v>
      </c>
      <c r="R32" s="23">
        <v>84.314197379374576</v>
      </c>
      <c r="S32" s="33">
        <v>3.7427492711804717</v>
      </c>
      <c r="T32" s="21"/>
      <c r="U32" s="16">
        <v>-4.1833758082463053E-5</v>
      </c>
      <c r="V32" s="14">
        <v>0.25950000000000001</v>
      </c>
      <c r="W32" s="35">
        <v>0.2205</v>
      </c>
      <c r="Y32" s="46"/>
    </row>
    <row r="33" spans="1:26">
      <c r="A33" s="17" t="s">
        <v>152</v>
      </c>
      <c r="B33" s="17" t="s">
        <v>152</v>
      </c>
      <c r="C33" s="17" t="s">
        <v>149</v>
      </c>
      <c r="D33" s="4">
        <v>168.08666666666667</v>
      </c>
      <c r="E33" s="43">
        <v>23.22</v>
      </c>
      <c r="F33" s="45">
        <v>9.0829510622925103E-2</v>
      </c>
      <c r="G33" s="25">
        <v>23.566241973394099</v>
      </c>
      <c r="H33" s="25">
        <v>0.72790538952930106</v>
      </c>
      <c r="I33" s="31">
        <v>0.72935873693880282</v>
      </c>
      <c r="J33" s="27">
        <v>99.613238224601403</v>
      </c>
      <c r="K33" s="33">
        <v>0.35209576087389682</v>
      </c>
      <c r="L33" s="27">
        <v>99.669503249786175</v>
      </c>
      <c r="M33" s="23">
        <v>-5.2095760873896835E-2</v>
      </c>
      <c r="N33" s="23">
        <v>96.373803872032241</v>
      </c>
      <c r="O33" s="33">
        <v>0.44790423912610322</v>
      </c>
      <c r="P33" s="27">
        <v>99.784994663673544</v>
      </c>
      <c r="Q33" s="23">
        <v>-0.17242175038011656</v>
      </c>
      <c r="R33" s="23">
        <v>87.482609898670361</v>
      </c>
      <c r="S33" s="33">
        <v>2.7193022906736584</v>
      </c>
      <c r="T33" s="21">
        <v>-9.4956054489549686</v>
      </c>
      <c r="U33" s="16">
        <v>1.6677691405508655E-5</v>
      </c>
      <c r="V33" s="14">
        <v>0.20399999999999999</v>
      </c>
      <c r="W33" s="35">
        <v>0.14560000000000001</v>
      </c>
    </row>
    <row r="34" spans="1:26">
      <c r="A34" s="17" t="s">
        <v>153</v>
      </c>
      <c r="B34" s="17" t="s">
        <v>153</v>
      </c>
      <c r="C34" s="17" t="s">
        <v>149</v>
      </c>
      <c r="D34" s="4">
        <v>166.56000000000003</v>
      </c>
      <c r="E34" s="43">
        <v>17.307777777777801</v>
      </c>
      <c r="F34" s="45">
        <v>0.16361370494076699</v>
      </c>
      <c r="G34" s="25">
        <v>39.704428329516098</v>
      </c>
      <c r="H34" s="25">
        <v>1.2657044829235957</v>
      </c>
      <c r="I34" s="31">
        <v>1.2677710417151999</v>
      </c>
      <c r="J34" s="27">
        <v>99.574294111789399</v>
      </c>
      <c r="K34" s="33">
        <v>0.38377170760671436</v>
      </c>
      <c r="L34" s="27">
        <v>99.526751724958345</v>
      </c>
      <c r="M34" s="23">
        <v>5.6228292393285639E-2</v>
      </c>
      <c r="N34" s="23">
        <v>95.059149395087474</v>
      </c>
      <c r="O34" s="33">
        <v>0.90622829239328562</v>
      </c>
      <c r="P34" s="27">
        <v>99.799239773506031</v>
      </c>
      <c r="Q34" s="23">
        <v>-0.21400650739818519</v>
      </c>
      <c r="R34" s="23">
        <v>82.402550325669395</v>
      </c>
      <c r="S34" s="33">
        <v>4.8620066616971984</v>
      </c>
      <c r="T34" s="21"/>
      <c r="U34" s="16">
        <v>3.094203440735195E-5</v>
      </c>
      <c r="V34" s="14">
        <v>0.30199999999999999</v>
      </c>
      <c r="W34" s="35">
        <v>0.22059999999999999</v>
      </c>
    </row>
    <row r="35" spans="1:26">
      <c r="A35" s="17" t="s">
        <v>154</v>
      </c>
      <c r="B35" s="17" t="s">
        <v>154</v>
      </c>
      <c r="C35" s="17" t="s">
        <v>149</v>
      </c>
      <c r="D35" s="4">
        <v>161.96</v>
      </c>
      <c r="E35" s="43">
        <v>20.13625</v>
      </c>
      <c r="F35" s="45">
        <v>7.6520305428410498E-2</v>
      </c>
      <c r="G35" s="25">
        <v>16.783666811319499</v>
      </c>
      <c r="H35" s="25">
        <v>0.72502120424639926</v>
      </c>
      <c r="I35" s="31">
        <v>0.72602906096179964</v>
      </c>
      <c r="J35" s="27">
        <v>99.579784767233022</v>
      </c>
      <c r="K35" s="33">
        <v>0.42021523276698569</v>
      </c>
      <c r="L35" s="27">
        <v>99.613069647463448</v>
      </c>
      <c r="M35" s="23">
        <v>-3.0215232766985678E-2</v>
      </c>
      <c r="N35" s="23">
        <v>95.609143407576695</v>
      </c>
      <c r="O35" s="33">
        <v>0.30978476723301429</v>
      </c>
      <c r="P35" s="27">
        <v>99.775861763712584</v>
      </c>
      <c r="Q35" s="23">
        <v>-0.23089518329001985</v>
      </c>
      <c r="R35" s="23">
        <v>86.498909936588788</v>
      </c>
      <c r="S35" s="33">
        <v>1.9892876262439787</v>
      </c>
      <c r="T35" s="21">
        <v>-9.7692442476580332</v>
      </c>
      <c r="U35" s="16"/>
      <c r="V35" s="14">
        <v>0.1646</v>
      </c>
      <c r="W35" s="35">
        <v>8.8010000000000005E-2</v>
      </c>
    </row>
    <row r="36" spans="1:26">
      <c r="A36" s="17" t="s">
        <v>155</v>
      </c>
      <c r="B36" s="17" t="s">
        <v>155</v>
      </c>
      <c r="C36" s="17" t="s">
        <v>149</v>
      </c>
      <c r="D36" s="4">
        <v>177.2</v>
      </c>
      <c r="E36" s="43">
        <v>32.932222222222201</v>
      </c>
      <c r="F36" s="45">
        <v>0.46994089462872302</v>
      </c>
      <c r="G36" s="25">
        <v>22.719487832277697</v>
      </c>
      <c r="H36" s="25">
        <v>2.476338221458807</v>
      </c>
      <c r="I36" s="31">
        <v>2.4862536062539959</v>
      </c>
      <c r="J36" s="27">
        <v>99.592745171387634</v>
      </c>
      <c r="K36" s="33">
        <v>0.37223912852085567</v>
      </c>
      <c r="L36" s="27">
        <v>99.580542052100711</v>
      </c>
      <c r="M36" s="23">
        <v>7.7608714791443378E-3</v>
      </c>
      <c r="N36" s="23">
        <v>95.965277766708795</v>
      </c>
      <c r="O36" s="33">
        <v>0.39776087147914435</v>
      </c>
      <c r="P36" s="27">
        <v>99.846039106789945</v>
      </c>
      <c r="Q36" s="23">
        <v>-0.25111726360792863</v>
      </c>
      <c r="R36" s="23">
        <v>86.965546398195798</v>
      </c>
      <c r="S36" s="33">
        <v>2.7439352949318274</v>
      </c>
      <c r="T36" s="21">
        <v>-10.043550758661727</v>
      </c>
      <c r="U36" s="16">
        <v>-5.3147337974133622E-5</v>
      </c>
      <c r="V36" s="14">
        <v>0.24210000000000001</v>
      </c>
      <c r="W36" s="35">
        <v>0.1555</v>
      </c>
    </row>
    <row r="37" spans="1:26">
      <c r="A37" s="17" t="s">
        <v>156</v>
      </c>
      <c r="B37" s="17" t="s">
        <v>156</v>
      </c>
      <c r="C37" s="17" t="s">
        <v>149</v>
      </c>
      <c r="D37" s="4">
        <v>167.33333333333331</v>
      </c>
      <c r="E37" s="43">
        <v>20.38</v>
      </c>
      <c r="F37" s="45">
        <v>0.156204993518133</v>
      </c>
      <c r="G37" s="25">
        <v>31.011538772029901</v>
      </c>
      <c r="H37" s="25">
        <v>1.1967777007962042</v>
      </c>
      <c r="I37" s="31">
        <v>1.199113806189601</v>
      </c>
      <c r="J37" s="27">
        <v>99.590463733194568</v>
      </c>
      <c r="K37" s="33">
        <v>0.37079843522780442</v>
      </c>
      <c r="L37" s="27">
        <v>99.689665306773065</v>
      </c>
      <c r="M37" s="23">
        <v>-6.0798435227804426E-2</v>
      </c>
      <c r="N37" s="23">
        <v>95.904359083349632</v>
      </c>
      <c r="O37" s="33">
        <v>0.41920156477219561</v>
      </c>
      <c r="P37" s="27">
        <v>99.773306553782021</v>
      </c>
      <c r="Q37" s="23">
        <v>-0.1763026572685765</v>
      </c>
      <c r="R37" s="23">
        <v>87.258919356397982</v>
      </c>
      <c r="S37" s="33">
        <v>2.8281106945991779</v>
      </c>
      <c r="T37" s="21">
        <v>-12.905382640651641</v>
      </c>
      <c r="U37" s="16"/>
      <c r="V37" s="14">
        <v>0.10150000000000001</v>
      </c>
      <c r="W37" s="35">
        <v>4.2869999999999998E-2</v>
      </c>
    </row>
    <row r="38" spans="1:26">
      <c r="A38" s="17" t="s">
        <v>157</v>
      </c>
      <c r="B38" s="17" t="s">
        <v>157</v>
      </c>
      <c r="C38" s="17" t="s">
        <v>149</v>
      </c>
      <c r="D38" s="4">
        <v>166.85999999999996</v>
      </c>
      <c r="E38" s="43">
        <v>17.406666666666698</v>
      </c>
      <c r="F38" s="45">
        <v>0.15668439615992399</v>
      </c>
      <c r="G38" s="25">
        <v>40.031731379826397</v>
      </c>
      <c r="H38" s="25">
        <v>1.1984750671043969</v>
      </c>
      <c r="I38" s="31">
        <v>1.2003184638252975</v>
      </c>
      <c r="J38" s="27">
        <v>99.533974605905343</v>
      </c>
      <c r="K38" s="33">
        <v>0.44459648803565327</v>
      </c>
      <c r="L38" s="27">
        <v>99.653996572786809</v>
      </c>
      <c r="M38" s="23">
        <v>-0.12459648803565326</v>
      </c>
      <c r="N38" s="23">
        <v>95.133457909428557</v>
      </c>
      <c r="O38" s="33">
        <v>0.32540351196434675</v>
      </c>
      <c r="P38" s="27">
        <v>99.745069065183301</v>
      </c>
      <c r="Q38" s="23">
        <v>-0.22709140117412424</v>
      </c>
      <c r="R38" s="23">
        <v>86.056785151130498</v>
      </c>
      <c r="S38" s="33">
        <v>1.931041274673585</v>
      </c>
      <c r="T38" s="21">
        <v>-12.264012721312735</v>
      </c>
      <c r="U38" s="16">
        <v>-5.4942544775696806E-5</v>
      </c>
      <c r="V38" s="14">
        <v>0.24970000000000001</v>
      </c>
      <c r="W38" s="35">
        <v>0.1784</v>
      </c>
    </row>
    <row r="39" spans="1:26">
      <c r="A39" s="17" t="s">
        <v>158</v>
      </c>
      <c r="B39" s="17" t="s">
        <v>158</v>
      </c>
      <c r="C39" s="17" t="s">
        <v>149</v>
      </c>
      <c r="D39" s="4">
        <v>167.88666666666668</v>
      </c>
      <c r="E39" s="43">
        <v>23.686666666666699</v>
      </c>
      <c r="F39" s="45">
        <v>0.67072721727987195</v>
      </c>
      <c r="G39" s="25">
        <v>21.448873264350098</v>
      </c>
      <c r="H39" s="25">
        <v>4.9899117818916991</v>
      </c>
      <c r="I39" s="31">
        <v>5.0309210392880921</v>
      </c>
      <c r="J39" s="27">
        <v>99.627194554508606</v>
      </c>
      <c r="K39" s="33">
        <v>0.37280544549138894</v>
      </c>
      <c r="L39" s="27">
        <v>99.681070444706805</v>
      </c>
      <c r="M39" s="23">
        <v>-8.2805445491388963E-2</v>
      </c>
      <c r="N39" s="23">
        <v>96.013539059827508</v>
      </c>
      <c r="O39" s="33">
        <v>0.23719455450861104</v>
      </c>
      <c r="P39" s="27">
        <v>99.75600498314428</v>
      </c>
      <c r="Q39" s="23">
        <v>-0.16359035097026181</v>
      </c>
      <c r="R39" s="23">
        <v>87.427444550049714</v>
      </c>
      <c r="S39" s="33">
        <v>1.765129167512175</v>
      </c>
      <c r="T39" s="21">
        <v>-7.0147408127244697</v>
      </c>
      <c r="U39" s="16">
        <v>3.8820742326115363E-5</v>
      </c>
      <c r="V39" s="14">
        <v>0.1128</v>
      </c>
      <c r="W39" s="35">
        <v>7.3550000000000004E-2</v>
      </c>
    </row>
    <row r="40" spans="1:26">
      <c r="A40" s="17" t="s">
        <v>159</v>
      </c>
      <c r="B40" s="17" t="s">
        <v>159</v>
      </c>
      <c r="C40" s="17" t="s">
        <v>149</v>
      </c>
      <c r="D40" s="4">
        <v>172.42166666666665</v>
      </c>
      <c r="E40" s="43">
        <v>29.161111111111101</v>
      </c>
      <c r="F40" s="45">
        <v>0.12742099949031599</v>
      </c>
      <c r="G40" s="25">
        <v>18.282524274103697</v>
      </c>
      <c r="H40" s="25">
        <v>0.80578517399090188</v>
      </c>
      <c r="I40" s="31">
        <v>0.8068843037388973</v>
      </c>
      <c r="J40" s="27">
        <v>99.66643965844591</v>
      </c>
      <c r="K40" s="33">
        <v>0.33356034155408987</v>
      </c>
      <c r="L40" s="27">
        <v>99.625243784796211</v>
      </c>
      <c r="M40" s="23">
        <v>6.4396584459101569E-3</v>
      </c>
      <c r="N40" s="23">
        <v>95.487156526092392</v>
      </c>
      <c r="O40" s="33">
        <v>0.49643965844591009</v>
      </c>
      <c r="P40" s="27">
        <v>99.768565947098622</v>
      </c>
      <c r="Q40" s="23">
        <v>-0.13582404659371561</v>
      </c>
      <c r="R40" s="23">
        <v>85.13118051249991</v>
      </c>
      <c r="S40" s="33">
        <v>3.95604820190866</v>
      </c>
      <c r="T40" s="21">
        <v>-12.116570945273926</v>
      </c>
      <c r="U40" s="16">
        <v>3.7623915395446607E-5</v>
      </c>
      <c r="V40" s="14">
        <v>0.22339999999999999</v>
      </c>
      <c r="W40" s="35">
        <v>0.16689999999999999</v>
      </c>
    </row>
    <row r="41" spans="1:26">
      <c r="A41" s="17" t="s">
        <v>160</v>
      </c>
      <c r="B41" s="17" t="s">
        <v>160</v>
      </c>
      <c r="C41" s="17" t="s">
        <v>149</v>
      </c>
      <c r="D41" s="4">
        <v>169.68</v>
      </c>
      <c r="E41" s="43">
        <v>27.046666666666699</v>
      </c>
      <c r="F41" s="45">
        <v>0.64575537163851804</v>
      </c>
      <c r="G41" s="25">
        <v>16.084829789924704</v>
      </c>
      <c r="H41" s="25">
        <v>4.515608124487791</v>
      </c>
      <c r="I41" s="31">
        <v>4.5511507327538059</v>
      </c>
      <c r="J41" s="27">
        <v>99.662489403602848</v>
      </c>
      <c r="K41" s="33">
        <v>0.33751059639715381</v>
      </c>
      <c r="L41" s="27">
        <v>99.679047774445266</v>
      </c>
      <c r="M41" s="23">
        <v>-4.7510596397153826E-2</v>
      </c>
      <c r="N41" s="23">
        <v>95.377851202680162</v>
      </c>
      <c r="O41" s="33">
        <v>0.52248940360284624</v>
      </c>
      <c r="P41" s="27">
        <v>99.851894158194895</v>
      </c>
      <c r="Q41" s="23">
        <v>-0.22121802202768664</v>
      </c>
      <c r="R41" s="23">
        <v>86.862848747968428</v>
      </c>
      <c r="S41" s="33">
        <v>1.3301650012095534</v>
      </c>
      <c r="T41" s="21">
        <v>-10.527777313276863</v>
      </c>
      <c r="U41" s="16">
        <v>2.2125484946182487E-5</v>
      </c>
      <c r="V41" s="14">
        <v>0.1201</v>
      </c>
      <c r="W41" s="35">
        <v>6.5540000000000001E-2</v>
      </c>
    </row>
    <row r="42" spans="1:26">
      <c r="A42" s="17" t="s">
        <v>161</v>
      </c>
      <c r="B42" s="17" t="s">
        <v>161</v>
      </c>
      <c r="C42" s="17" t="s">
        <v>149</v>
      </c>
      <c r="D42" s="4">
        <v>179.81333333333336</v>
      </c>
      <c r="E42" s="43">
        <v>19.57</v>
      </c>
      <c r="F42" s="45">
        <v>9.2870878105033694E-2</v>
      </c>
      <c r="G42" s="25">
        <v>58.323273280714005</v>
      </c>
      <c r="H42" s="25">
        <v>0.43497846222009429</v>
      </c>
      <c r="I42" s="31">
        <v>0.43515044560390237</v>
      </c>
      <c r="J42" s="27">
        <v>99.620928752746536</v>
      </c>
      <c r="K42" s="33">
        <v>0.37907124725347308</v>
      </c>
      <c r="L42" s="27">
        <v>99.656802383316787</v>
      </c>
      <c r="M42" s="23">
        <v>-6.9071247253473078E-2</v>
      </c>
      <c r="N42" s="23">
        <v>95.699077814516485</v>
      </c>
      <c r="O42" s="33">
        <v>0.20092875274652688</v>
      </c>
      <c r="P42" s="27">
        <v>99.836053360874629</v>
      </c>
      <c r="Q42" s="23">
        <v>-0.25568844846565769</v>
      </c>
      <c r="R42" s="23">
        <v>85.386370352120451</v>
      </c>
      <c r="S42" s="33">
        <v>1.7389517692712402</v>
      </c>
      <c r="T42" s="21">
        <v>-9.2569193970271595</v>
      </c>
      <c r="U42" s="16"/>
      <c r="V42" s="14">
        <v>0.20430000000000001</v>
      </c>
      <c r="W42" s="35">
        <v>0.23250000000000001</v>
      </c>
    </row>
    <row r="43" spans="1:26">
      <c r="A43" s="17" t="s">
        <v>162</v>
      </c>
      <c r="B43" s="17" t="s">
        <v>162</v>
      </c>
      <c r="C43" s="17" t="s">
        <v>149</v>
      </c>
      <c r="D43" s="4">
        <v>176.88666666666666</v>
      </c>
      <c r="E43" s="43">
        <v>30.192222222222199</v>
      </c>
      <c r="F43" s="45">
        <v>0.15578653486243399</v>
      </c>
      <c r="G43" s="25">
        <v>28.320119208776795</v>
      </c>
      <c r="H43" s="25">
        <v>0.82801511508580106</v>
      </c>
      <c r="I43" s="31">
        <v>0.82904952331529458</v>
      </c>
      <c r="J43" s="27">
        <v>99.616207421858135</v>
      </c>
      <c r="K43" s="33">
        <v>0.35546591843782216</v>
      </c>
      <c r="L43" s="27">
        <v>99.665016775974166</v>
      </c>
      <c r="M43" s="23">
        <v>-5.546591843782217E-2</v>
      </c>
      <c r="N43" s="23">
        <v>96.536051260385875</v>
      </c>
      <c r="O43" s="33">
        <v>0.57453408156217789</v>
      </c>
      <c r="P43" s="27">
        <v>99.820785052124748</v>
      </c>
      <c r="Q43" s="23">
        <v>-0.21532488401346139</v>
      </c>
      <c r="R43" s="23">
        <v>86.698670489947844</v>
      </c>
      <c r="S43" s="33">
        <v>4.7682023949483625</v>
      </c>
      <c r="T43" s="21">
        <v>-7.5863092544660899</v>
      </c>
      <c r="U43" s="16">
        <v>-1.2318267098607031E-5</v>
      </c>
      <c r="V43" s="14">
        <v>0.1663</v>
      </c>
      <c r="W43" s="35">
        <v>5.4309999999999997E-2</v>
      </c>
    </row>
    <row r="44" spans="1:26">
      <c r="A44" s="17" t="s">
        <v>163</v>
      </c>
      <c r="B44" s="17" t="s">
        <v>163</v>
      </c>
      <c r="C44" s="17" t="s">
        <v>149</v>
      </c>
      <c r="D44" s="4">
        <v>179.61333333333332</v>
      </c>
      <c r="E44" s="43">
        <v>38.344444444444399</v>
      </c>
      <c r="F44" s="45">
        <v>0.243880662984539</v>
      </c>
      <c r="G44" s="25">
        <v>17.732045495301595</v>
      </c>
      <c r="H44" s="25">
        <v>1.1809645701372027</v>
      </c>
      <c r="I44" s="31">
        <v>1.1833407293549953</v>
      </c>
      <c r="J44" s="27">
        <v>99.648891009119879</v>
      </c>
      <c r="K44" s="33">
        <v>0.32948077754821797</v>
      </c>
      <c r="L44" s="27">
        <v>99.637126710201358</v>
      </c>
      <c r="M44" s="23">
        <v>5.1922245178204207E-4</v>
      </c>
      <c r="N44" s="23">
        <v>96.060865646276056</v>
      </c>
      <c r="O44" s="33">
        <v>0.74051922245178203</v>
      </c>
      <c r="P44" s="27">
        <v>99.828702456325232</v>
      </c>
      <c r="Q44" s="23">
        <v>-0.18870111872476858</v>
      </c>
      <c r="R44" s="23">
        <v>86.96569956453294</v>
      </c>
      <c r="S44" s="33">
        <v>4.0600188028314736</v>
      </c>
      <c r="T44" s="21">
        <v>-8.9257494411460598</v>
      </c>
      <c r="U44" s="16">
        <v>1.4997477510572733E-5</v>
      </c>
      <c r="V44" s="14">
        <v>0.1724</v>
      </c>
      <c r="W44" s="35">
        <v>7.1440000000000003E-2</v>
      </c>
    </row>
    <row r="45" spans="1:26">
      <c r="A45" s="17" t="s">
        <v>164</v>
      </c>
      <c r="B45" s="17" t="s">
        <v>164</v>
      </c>
      <c r="C45" s="17" t="s">
        <v>149</v>
      </c>
      <c r="D45" s="4">
        <v>175.15333333333334</v>
      </c>
      <c r="E45" s="43">
        <v>30.1533333333333</v>
      </c>
      <c r="F45" s="45">
        <v>0.106770782520313</v>
      </c>
      <c r="G45" s="25">
        <v>23.653062444569596</v>
      </c>
      <c r="H45" s="25">
        <v>0.60749971049360951</v>
      </c>
      <c r="I45" s="31">
        <v>0.6080883346293966</v>
      </c>
      <c r="J45" s="27">
        <v>99.610491002891422</v>
      </c>
      <c r="K45" s="33">
        <v>0.3547400419009536</v>
      </c>
      <c r="L45" s="27">
        <v>99.673716120468526</v>
      </c>
      <c r="M45" s="23">
        <v>-6.4740041900953615E-2</v>
      </c>
      <c r="N45" s="23">
        <v>96.54519454909925</v>
      </c>
      <c r="O45" s="33">
        <v>0.46525995809904636</v>
      </c>
      <c r="P45" s="27">
        <v>99.808465295236232</v>
      </c>
      <c r="Q45" s="23">
        <v>-0.19671884043610691</v>
      </c>
      <c r="R45" s="23">
        <v>86.746475610886279</v>
      </c>
      <c r="S45" s="33">
        <v>8.6469082189283348</v>
      </c>
      <c r="T45" s="21">
        <v>-8.9492094585658624</v>
      </c>
      <c r="U45" s="16">
        <v>-2.0838447846334642E-5</v>
      </c>
      <c r="V45" s="14">
        <v>0.16769999999999999</v>
      </c>
      <c r="W45" s="35">
        <v>5.9839999999999997E-2</v>
      </c>
    </row>
    <row r="46" spans="1:26">
      <c r="A46" s="17" t="s">
        <v>165</v>
      </c>
      <c r="B46" s="17" t="s">
        <v>165</v>
      </c>
      <c r="C46" s="17" t="s">
        <v>149</v>
      </c>
      <c r="D46" s="4">
        <v>168.94666666666666</v>
      </c>
      <c r="E46" s="43">
        <v>26.615555555555598</v>
      </c>
      <c r="F46" s="45">
        <v>0.331704352967787</v>
      </c>
      <c r="G46" s="25">
        <v>15.1427407807049</v>
      </c>
      <c r="H46" s="25">
        <v>2.3896978856206008</v>
      </c>
      <c r="I46" s="31">
        <v>2.3997105861509045</v>
      </c>
      <c r="J46" s="27">
        <v>99.581431643544562</v>
      </c>
      <c r="K46" s="33">
        <v>0.41856835645544077</v>
      </c>
      <c r="L46" s="27">
        <v>99.580614730927266</v>
      </c>
      <c r="M46" s="23">
        <v>-3.8568356455440767E-2</v>
      </c>
      <c r="N46" s="23">
        <v>95.540972625938366</v>
      </c>
      <c r="O46" s="33">
        <v>0.92143164354455931</v>
      </c>
      <c r="P46" s="27">
        <v>99.805885761733492</v>
      </c>
      <c r="Q46" s="23">
        <v>-0.25770459485508113</v>
      </c>
      <c r="R46" s="23">
        <v>86.031706525960189</v>
      </c>
      <c r="S46" s="33">
        <v>4.778460358140828</v>
      </c>
      <c r="T46" s="21">
        <v>-7.025618299799457</v>
      </c>
      <c r="U46" s="16"/>
      <c r="V46" s="14">
        <v>0.24640000000000001</v>
      </c>
      <c r="W46" s="35">
        <v>0.14779999999999999</v>
      </c>
    </row>
    <row r="47" spans="1:26">
      <c r="A47" s="17" t="s">
        <v>166</v>
      </c>
      <c r="B47" s="17" t="s">
        <v>166</v>
      </c>
      <c r="C47" s="17" t="s">
        <v>149</v>
      </c>
      <c r="D47" s="4">
        <v>181.76666666666671</v>
      </c>
      <c r="E47" s="43">
        <v>33.252222222222201</v>
      </c>
      <c r="F47" s="45">
        <v>3.9616214413348401E-2</v>
      </c>
      <c r="G47" s="25">
        <v>34.140059621464204</v>
      </c>
      <c r="H47" s="25">
        <v>0.17500947357009977</v>
      </c>
      <c r="I47" s="31">
        <v>0.17505224916661177</v>
      </c>
      <c r="J47" s="27">
        <v>99.579218540897614</v>
      </c>
      <c r="K47" s="33">
        <v>0.38718782158856946</v>
      </c>
      <c r="L47" s="27">
        <v>99.734696404251935</v>
      </c>
      <c r="M47" s="23">
        <v>-0.14718782158856947</v>
      </c>
      <c r="N47" s="23">
        <v>96.260353258157863</v>
      </c>
      <c r="O47" s="33">
        <v>0.58281217841143051</v>
      </c>
      <c r="P47" s="27">
        <v>99.804526824040494</v>
      </c>
      <c r="Q47" s="23">
        <v>-0.22501821252944751</v>
      </c>
      <c r="R47" s="23">
        <v>86.39814624865393</v>
      </c>
      <c r="S47" s="33">
        <v>6.7662580175179476</v>
      </c>
      <c r="T47" s="21">
        <v>-11.307722523644596</v>
      </c>
      <c r="U47" s="16">
        <v>4.7332643176679864E-5</v>
      </c>
      <c r="V47" s="14">
        <v>0.19639999999999999</v>
      </c>
      <c r="W47" s="35">
        <v>0.10979999999999999</v>
      </c>
    </row>
    <row r="48" spans="1:26">
      <c r="A48" s="17" t="str">
        <f t="shared" ref="A48" si="0">B48</f>
        <v>S36-S17</v>
      </c>
      <c r="B48" s="17" t="s">
        <v>167</v>
      </c>
      <c r="C48" s="17" t="s">
        <v>149</v>
      </c>
      <c r="D48" s="4">
        <v>171.49333333333331</v>
      </c>
      <c r="E48" s="43">
        <v>24.8555555555556</v>
      </c>
      <c r="F48" s="45">
        <v>0.168753600784629</v>
      </c>
      <c r="G48" s="25">
        <v>27.904871670133502</v>
      </c>
      <c r="H48" s="25">
        <v>1.0959466039609964</v>
      </c>
      <c r="I48" s="31">
        <v>1.0977688613822991</v>
      </c>
      <c r="J48" s="27">
        <v>99.54893254295402</v>
      </c>
      <c r="K48" s="33">
        <v>99.54893254295402</v>
      </c>
      <c r="L48" s="27">
        <v>99.659323153676596</v>
      </c>
      <c r="M48" s="23">
        <v>-0.12010052106129421</v>
      </c>
      <c r="N48" s="23">
        <v>95.915878197775513</v>
      </c>
      <c r="O48" s="33">
        <v>0.43989947893870579</v>
      </c>
      <c r="P48" s="27">
        <v>99.818101619825967</v>
      </c>
      <c r="Q48" s="23">
        <v>-0.26904820104947946</v>
      </c>
      <c r="R48" s="23">
        <v>87.517861443427321</v>
      </c>
      <c r="S48" s="33">
        <v>3.0798786945079062</v>
      </c>
      <c r="T48" s="21">
        <v>-6.7236948049577725</v>
      </c>
      <c r="U48" s="16"/>
      <c r="V48" s="14">
        <v>0.27550000000000002</v>
      </c>
      <c r="W48" s="35">
        <v>0.15029999999999999</v>
      </c>
      <c r="Z48" s="9"/>
    </row>
    <row r="49" spans="1:23">
      <c r="A49" s="17" t="s">
        <v>168</v>
      </c>
      <c r="B49" s="17" t="s">
        <v>168</v>
      </c>
      <c r="C49" s="17" t="s">
        <v>149</v>
      </c>
      <c r="D49" s="4">
        <v>173.9</v>
      </c>
      <c r="E49" s="43">
        <v>44.0833333333333</v>
      </c>
      <c r="F49" s="45">
        <v>0.28987066081271501</v>
      </c>
      <c r="G49" s="25">
        <v>-16.934774189245005</v>
      </c>
      <c r="H49" s="25">
        <v>1.7944549220560084</v>
      </c>
      <c r="I49" s="31">
        <v>1.8017483482219987</v>
      </c>
      <c r="J49" s="27">
        <v>99.61067386992778</v>
      </c>
      <c r="K49" s="33">
        <v>0.3548485163009743</v>
      </c>
      <c r="L49" s="27">
        <v>99.625747695040658</v>
      </c>
      <c r="M49" s="23">
        <v>-2.4848516300974288E-2</v>
      </c>
      <c r="N49" s="23">
        <v>96.198587111915145</v>
      </c>
      <c r="O49" s="33">
        <v>0.79515148369902566</v>
      </c>
      <c r="P49" s="27">
        <v>99.712718650980761</v>
      </c>
      <c r="Q49" s="23">
        <v>-9.9358808277097865E-2</v>
      </c>
      <c r="R49" s="23">
        <v>85.914445940103448</v>
      </c>
      <c r="S49" s="33">
        <v>5.7129323966068846</v>
      </c>
      <c r="T49" s="21">
        <v>-12.816933707662681</v>
      </c>
      <c r="U49" s="16">
        <v>5.8121202638707952E-5</v>
      </c>
      <c r="V49" s="14">
        <v>0.13400000000000001</v>
      </c>
      <c r="W49" s="35">
        <v>6.5430000000000002E-2</v>
      </c>
    </row>
    <row r="50" spans="1:23">
      <c r="A50" s="17" t="s">
        <v>169</v>
      </c>
      <c r="B50" s="17" t="s">
        <v>169</v>
      </c>
      <c r="C50" s="17" t="s">
        <v>149</v>
      </c>
      <c r="D50" s="4">
        <v>171.85333333333332</v>
      </c>
      <c r="E50" s="43">
        <v>31.017777777777798</v>
      </c>
      <c r="F50" s="45">
        <v>0.14906188125890699</v>
      </c>
      <c r="G50" s="25">
        <v>11.225696473994496</v>
      </c>
      <c r="H50" s="25">
        <v>0.96852546602450573</v>
      </c>
      <c r="I50" s="31">
        <v>0.97022999802999266</v>
      </c>
      <c r="J50" s="27">
        <v>99.658958085609868</v>
      </c>
      <c r="K50" s="33">
        <v>0.30648262972633267</v>
      </c>
      <c r="L50" s="27">
        <v>99.681834037501048</v>
      </c>
      <c r="M50" s="23">
        <v>-2.648262972633264E-2</v>
      </c>
      <c r="N50" s="23">
        <v>96.01146202975464</v>
      </c>
      <c r="O50" s="33">
        <v>0.82351737027366723</v>
      </c>
      <c r="P50" s="27">
        <v>99.650448932991864</v>
      </c>
      <c r="Q50" s="23">
        <v>1.0019049351499831E-2</v>
      </c>
      <c r="R50" s="23">
        <v>84.360098949276022</v>
      </c>
      <c r="S50" s="33">
        <v>5.2171154297741449</v>
      </c>
      <c r="T50" s="21">
        <v>-10.645004591499458</v>
      </c>
      <c r="U50" s="16">
        <v>3.0044786482252939E-5</v>
      </c>
      <c r="V50" s="14">
        <v>0.2908</v>
      </c>
      <c r="W50" s="35">
        <v>0.1336</v>
      </c>
    </row>
    <row r="51" spans="1:23">
      <c r="A51" s="17" t="s">
        <v>170</v>
      </c>
      <c r="B51" s="17" t="s">
        <v>170</v>
      </c>
      <c r="C51" s="17" t="s">
        <v>149</v>
      </c>
      <c r="D51" s="4">
        <v>184.20000000000002</v>
      </c>
      <c r="E51" s="43">
        <v>47.073749999999997</v>
      </c>
      <c r="F51" s="45">
        <v>1.1054015107643</v>
      </c>
      <c r="G51" s="25">
        <v>14.820280945384901</v>
      </c>
      <c r="H51" s="25">
        <v>4.5777208508734013</v>
      </c>
      <c r="I51" s="31">
        <v>4.6190037882756005</v>
      </c>
      <c r="J51" s="27">
        <v>99.686361405952027</v>
      </c>
      <c r="K51" s="33">
        <v>0.3136385940479634</v>
      </c>
      <c r="L51" s="27">
        <v>99.633516303470671</v>
      </c>
      <c r="M51" s="23">
        <v>2.6361405952036621E-2</v>
      </c>
      <c r="N51" s="23">
        <v>95.181883883401596</v>
      </c>
      <c r="O51" s="33">
        <v>1.0163614059520367</v>
      </c>
      <c r="P51" s="27">
        <v>99.663186844940924</v>
      </c>
      <c r="Q51" s="23">
        <v>-1.6482562712099247E-2</v>
      </c>
      <c r="R51" s="23">
        <v>86.584436699207856</v>
      </c>
      <c r="S51" s="33">
        <v>6.5260440512266547</v>
      </c>
      <c r="T51" s="21">
        <v>-10.827205262331297</v>
      </c>
      <c r="U51" s="16"/>
      <c r="V51" s="14">
        <v>0.10780000000000001</v>
      </c>
      <c r="W51" s="35">
        <v>7.9280000000000003E-2</v>
      </c>
    </row>
    <row r="52" spans="1:23">
      <c r="A52" s="17" t="s">
        <v>171</v>
      </c>
      <c r="B52" s="18" t="s">
        <v>22</v>
      </c>
      <c r="C52" s="18">
        <v>50</v>
      </c>
      <c r="D52" s="10">
        <v>190.68</v>
      </c>
      <c r="E52" s="43">
        <v>38.039499999999997</v>
      </c>
      <c r="F52" s="45">
        <v>0.47926373456868898</v>
      </c>
      <c r="G52" s="25">
        <v>45.888834502606898</v>
      </c>
      <c r="H52" s="25">
        <v>1.4717075420067047</v>
      </c>
      <c r="I52" s="31">
        <v>1.4698031922906978</v>
      </c>
      <c r="J52" s="28" t="s">
        <v>26</v>
      </c>
      <c r="K52" s="34" t="s">
        <v>26</v>
      </c>
      <c r="L52" s="28" t="s">
        <v>26</v>
      </c>
      <c r="M52" s="28" t="s">
        <v>26</v>
      </c>
      <c r="N52" s="28" t="s">
        <v>26</v>
      </c>
      <c r="O52" s="34" t="s">
        <v>26</v>
      </c>
      <c r="P52" s="28" t="s">
        <v>26</v>
      </c>
      <c r="Q52" s="28" t="s">
        <v>26</v>
      </c>
      <c r="R52" s="28" t="s">
        <v>26</v>
      </c>
      <c r="S52" s="34" t="s">
        <v>26</v>
      </c>
      <c r="T52" s="20" t="s">
        <v>26</v>
      </c>
      <c r="U52" s="20" t="s">
        <v>26</v>
      </c>
      <c r="V52" s="20" t="s">
        <v>26</v>
      </c>
      <c r="W52" s="20" t="s">
        <v>26</v>
      </c>
    </row>
    <row r="53" spans="1:23">
      <c r="A53" s="17" t="s">
        <v>172</v>
      </c>
      <c r="B53" s="17" t="s">
        <v>22</v>
      </c>
      <c r="C53" s="17">
        <v>100</v>
      </c>
      <c r="D53" s="4">
        <v>201.53199999999998</v>
      </c>
      <c r="E53" s="43">
        <v>33.069899999999997</v>
      </c>
      <c r="F53" s="45">
        <v>0.87187135264071702</v>
      </c>
      <c r="G53" s="25">
        <v>65.840187750941396</v>
      </c>
      <c r="H53" s="25">
        <v>1.958291213114201</v>
      </c>
      <c r="I53" s="31">
        <v>1.9557048610058985</v>
      </c>
      <c r="J53" s="28" t="s">
        <v>26</v>
      </c>
      <c r="K53" s="34" t="s">
        <v>26</v>
      </c>
      <c r="L53" s="28" t="s">
        <v>26</v>
      </c>
      <c r="M53" s="28" t="s">
        <v>26</v>
      </c>
      <c r="N53" s="28" t="s">
        <v>26</v>
      </c>
      <c r="O53" s="34" t="s">
        <v>26</v>
      </c>
      <c r="P53" s="28" t="s">
        <v>26</v>
      </c>
      <c r="Q53" s="28" t="s">
        <v>26</v>
      </c>
      <c r="R53" s="28" t="s">
        <v>26</v>
      </c>
      <c r="S53" s="34" t="s">
        <v>26</v>
      </c>
      <c r="T53" s="20" t="s">
        <v>26</v>
      </c>
      <c r="U53" s="20" t="s">
        <v>26</v>
      </c>
      <c r="V53" s="20" t="s">
        <v>26</v>
      </c>
      <c r="W53" s="20" t="s">
        <v>26</v>
      </c>
    </row>
    <row r="54" spans="1:23">
      <c r="A54" s="17" t="s">
        <v>173</v>
      </c>
      <c r="B54" s="17" t="s">
        <v>22</v>
      </c>
      <c r="C54" s="17">
        <v>200</v>
      </c>
      <c r="D54" s="4">
        <v>199.29700000000003</v>
      </c>
      <c r="E54" s="43">
        <v>24.7000909090909</v>
      </c>
      <c r="F54" s="45">
        <v>0.70525221793986004</v>
      </c>
      <c r="G54" s="25">
        <v>76.517924143426001</v>
      </c>
      <c r="H54" s="25">
        <v>1.4420800464856995</v>
      </c>
      <c r="I54" s="31">
        <v>1.441197139478092</v>
      </c>
      <c r="J54" s="28" t="s">
        <v>26</v>
      </c>
      <c r="K54" s="34" t="s">
        <v>26</v>
      </c>
      <c r="L54" s="28" t="s">
        <v>26</v>
      </c>
      <c r="M54" s="28" t="s">
        <v>26</v>
      </c>
      <c r="N54" s="28" t="s">
        <v>26</v>
      </c>
      <c r="O54" s="34" t="s">
        <v>26</v>
      </c>
      <c r="P54" s="28" t="s">
        <v>26</v>
      </c>
      <c r="Q54" s="28" t="s">
        <v>26</v>
      </c>
      <c r="R54" s="28" t="s">
        <v>26</v>
      </c>
      <c r="S54" s="34" t="s">
        <v>26</v>
      </c>
      <c r="T54" s="20" t="s">
        <v>26</v>
      </c>
      <c r="U54" s="20" t="s">
        <v>26</v>
      </c>
      <c r="V54" s="20" t="s">
        <v>26</v>
      </c>
      <c r="W54" s="20" t="s">
        <v>26</v>
      </c>
    </row>
    <row r="55" spans="1:23">
      <c r="A55" s="17" t="s">
        <v>174</v>
      </c>
      <c r="B55" s="17" t="s">
        <v>87</v>
      </c>
      <c r="C55" s="17">
        <v>50</v>
      </c>
      <c r="D55" s="4">
        <v>191.2</v>
      </c>
      <c r="E55" s="43">
        <v>31.4057777777778</v>
      </c>
      <c r="F55" s="45">
        <v>1.4892074887148701</v>
      </c>
      <c r="G55" s="25">
        <v>56.179693332235004</v>
      </c>
      <c r="H55" s="25">
        <v>4.5858738299943056</v>
      </c>
      <c r="I55" s="31">
        <v>4.5659100026413952</v>
      </c>
      <c r="J55" s="28" t="s">
        <v>26</v>
      </c>
      <c r="K55" s="34" t="s">
        <v>26</v>
      </c>
      <c r="L55" s="28" t="s">
        <v>26</v>
      </c>
      <c r="M55" s="28" t="s">
        <v>26</v>
      </c>
      <c r="N55" s="28" t="s">
        <v>26</v>
      </c>
      <c r="O55" s="34" t="s">
        <v>26</v>
      </c>
      <c r="P55" s="28" t="s">
        <v>26</v>
      </c>
      <c r="Q55" s="28" t="s">
        <v>26</v>
      </c>
      <c r="R55" s="28" t="s">
        <v>26</v>
      </c>
      <c r="S55" s="34" t="s">
        <v>26</v>
      </c>
      <c r="T55" s="20" t="s">
        <v>26</v>
      </c>
      <c r="U55" s="20" t="s">
        <v>26</v>
      </c>
      <c r="V55" s="20" t="s">
        <v>26</v>
      </c>
      <c r="W55" s="20" t="s">
        <v>26</v>
      </c>
    </row>
    <row r="56" spans="1:23">
      <c r="A56" s="17" t="s">
        <v>175</v>
      </c>
      <c r="B56" s="17" t="s">
        <v>87</v>
      </c>
      <c r="C56" s="17">
        <v>100</v>
      </c>
      <c r="D56" s="4">
        <v>190.83600000000001</v>
      </c>
      <c r="E56" s="43">
        <v>34.378111111111103</v>
      </c>
      <c r="F56" s="45">
        <v>1.22359556680756</v>
      </c>
      <c r="G56" s="25">
        <v>51.379633237680999</v>
      </c>
      <c r="H56" s="25">
        <v>3.8276445568637953</v>
      </c>
      <c r="I56" s="31">
        <v>3.8122820390348977</v>
      </c>
      <c r="J56" s="28" t="s">
        <v>26</v>
      </c>
      <c r="K56" s="34" t="s">
        <v>26</v>
      </c>
      <c r="L56" s="28" t="s">
        <v>26</v>
      </c>
      <c r="M56" s="28" t="s">
        <v>26</v>
      </c>
      <c r="N56" s="28" t="s">
        <v>26</v>
      </c>
      <c r="O56" s="34" t="s">
        <v>26</v>
      </c>
      <c r="P56" s="28" t="s">
        <v>26</v>
      </c>
      <c r="Q56" s="28" t="s">
        <v>26</v>
      </c>
      <c r="R56" s="28" t="s">
        <v>26</v>
      </c>
      <c r="S56" s="34" t="s">
        <v>26</v>
      </c>
      <c r="T56" s="20" t="s">
        <v>26</v>
      </c>
      <c r="U56" s="20" t="s">
        <v>26</v>
      </c>
      <c r="V56" s="20" t="s">
        <v>26</v>
      </c>
      <c r="W56" s="20" t="s">
        <v>26</v>
      </c>
    </row>
    <row r="57" spans="1:23">
      <c r="A57" s="17" t="s">
        <v>176</v>
      </c>
      <c r="B57" s="17" t="s">
        <v>87</v>
      </c>
      <c r="C57" s="17">
        <v>200</v>
      </c>
      <c r="D57" s="4">
        <v>212.20599999999999</v>
      </c>
      <c r="E57" s="43">
        <v>20.3413</v>
      </c>
      <c r="F57" s="45">
        <v>0.42084440249468802</v>
      </c>
      <c r="G57" s="25">
        <v>86.990123999128301</v>
      </c>
      <c r="H57" s="25">
        <v>0.58202905148409911</v>
      </c>
      <c r="I57" s="31">
        <v>0.58194106977950355</v>
      </c>
      <c r="J57" s="28" t="s">
        <v>26</v>
      </c>
      <c r="K57" s="34" t="s">
        <v>26</v>
      </c>
      <c r="L57" s="28" t="s">
        <v>26</v>
      </c>
      <c r="M57" s="28" t="s">
        <v>26</v>
      </c>
      <c r="N57" s="28" t="s">
        <v>26</v>
      </c>
      <c r="O57" s="34" t="s">
        <v>26</v>
      </c>
      <c r="P57" s="28" t="s">
        <v>26</v>
      </c>
      <c r="Q57" s="28" t="s">
        <v>26</v>
      </c>
      <c r="R57" s="28" t="s">
        <v>26</v>
      </c>
      <c r="S57" s="34" t="s">
        <v>26</v>
      </c>
      <c r="T57" s="20" t="s">
        <v>26</v>
      </c>
      <c r="U57" s="20" t="s">
        <v>26</v>
      </c>
      <c r="V57" s="20" t="s">
        <v>26</v>
      </c>
      <c r="W57" s="20" t="s">
        <v>26</v>
      </c>
    </row>
    <row r="58" spans="1:23">
      <c r="A58" s="17" t="s">
        <v>177</v>
      </c>
      <c r="B58" s="17" t="s">
        <v>92</v>
      </c>
      <c r="C58" s="17">
        <v>50</v>
      </c>
      <c r="D58" s="4">
        <v>185.51499999999999</v>
      </c>
      <c r="E58" s="43">
        <v>26.7895454545455</v>
      </c>
      <c r="F58" s="45">
        <v>2.1975952021988201</v>
      </c>
      <c r="G58" s="25">
        <v>53.834741887521396</v>
      </c>
      <c r="H58" s="25">
        <v>8.2308689281936012</v>
      </c>
      <c r="I58" s="31">
        <v>8.1754604045058983</v>
      </c>
      <c r="J58" s="28" t="s">
        <v>26</v>
      </c>
      <c r="K58" s="34" t="s">
        <v>26</v>
      </c>
      <c r="L58" s="28" t="s">
        <v>26</v>
      </c>
      <c r="M58" s="28" t="s">
        <v>26</v>
      </c>
      <c r="N58" s="28" t="s">
        <v>26</v>
      </c>
      <c r="O58" s="34" t="s">
        <v>26</v>
      </c>
      <c r="P58" s="28" t="s">
        <v>26</v>
      </c>
      <c r="Q58" s="28" t="s">
        <v>26</v>
      </c>
      <c r="R58" s="28" t="s">
        <v>26</v>
      </c>
      <c r="S58" s="34" t="s">
        <v>26</v>
      </c>
      <c r="T58" s="20" t="s">
        <v>26</v>
      </c>
      <c r="U58" s="20" t="s">
        <v>26</v>
      </c>
      <c r="V58" s="20" t="s">
        <v>26</v>
      </c>
      <c r="W58" s="20" t="s">
        <v>26</v>
      </c>
    </row>
    <row r="59" spans="1:23">
      <c r="A59" s="17" t="s">
        <v>178</v>
      </c>
      <c r="B59" s="17" t="s">
        <v>92</v>
      </c>
      <c r="C59" s="17">
        <v>100</v>
      </c>
      <c r="D59" s="4">
        <v>197.148</v>
      </c>
      <c r="E59" s="43">
        <v>34.046700000000001</v>
      </c>
      <c r="F59" s="45">
        <v>1.1399038019840899</v>
      </c>
      <c r="G59" s="25">
        <v>61.909618495321595</v>
      </c>
      <c r="H59" s="25">
        <v>2.7780065221513013</v>
      </c>
      <c r="I59" s="31">
        <v>2.772223551057607</v>
      </c>
      <c r="J59" s="28" t="s">
        <v>26</v>
      </c>
      <c r="K59" s="34" t="s">
        <v>26</v>
      </c>
      <c r="L59" s="28" t="s">
        <v>26</v>
      </c>
      <c r="M59" s="28" t="s">
        <v>26</v>
      </c>
      <c r="N59" s="28" t="s">
        <v>26</v>
      </c>
      <c r="O59" s="34" t="s">
        <v>26</v>
      </c>
      <c r="P59" s="28" t="s">
        <v>26</v>
      </c>
      <c r="Q59" s="28" t="s">
        <v>26</v>
      </c>
      <c r="R59" s="28" t="s">
        <v>26</v>
      </c>
      <c r="S59" s="34" t="s">
        <v>26</v>
      </c>
      <c r="T59" s="20" t="s">
        <v>26</v>
      </c>
      <c r="U59" s="20" t="s">
        <v>26</v>
      </c>
      <c r="V59" s="20" t="s">
        <v>26</v>
      </c>
      <c r="W59" s="20" t="s">
        <v>26</v>
      </c>
    </row>
    <row r="60" spans="1:23">
      <c r="A60" s="17" t="s">
        <v>179</v>
      </c>
      <c r="B60" s="17" t="s">
        <v>92</v>
      </c>
      <c r="C60" s="17">
        <v>200</v>
      </c>
      <c r="D60" s="4">
        <v>212.20599999999999</v>
      </c>
      <c r="E60" s="43">
        <v>35.762999999999998</v>
      </c>
      <c r="F60" s="45">
        <v>0.78936711639416901</v>
      </c>
      <c r="G60" s="25">
        <v>71.223820448119099</v>
      </c>
      <c r="H60" s="25">
        <v>1.3783886317213927</v>
      </c>
      <c r="I60" s="31">
        <v>1.3773049955634065</v>
      </c>
      <c r="J60" s="28" t="s">
        <v>26</v>
      </c>
      <c r="K60" s="34" t="s">
        <v>26</v>
      </c>
      <c r="L60" s="28" t="s">
        <v>26</v>
      </c>
      <c r="M60" s="28" t="s">
        <v>26</v>
      </c>
      <c r="N60" s="28" t="s">
        <v>26</v>
      </c>
      <c r="O60" s="34" t="s">
        <v>26</v>
      </c>
      <c r="P60" s="28" t="s">
        <v>26</v>
      </c>
      <c r="Q60" s="28" t="s">
        <v>26</v>
      </c>
      <c r="R60" s="28" t="s">
        <v>26</v>
      </c>
      <c r="S60" s="34" t="s">
        <v>26</v>
      </c>
      <c r="T60" s="20" t="s">
        <v>26</v>
      </c>
      <c r="U60" s="20" t="s">
        <v>26</v>
      </c>
      <c r="V60" s="20" t="s">
        <v>26</v>
      </c>
      <c r="W60" s="20" t="s">
        <v>26</v>
      </c>
    </row>
    <row r="61" spans="1:23">
      <c r="P61" s="11"/>
    </row>
    <row r="62" spans="1:23">
      <c r="P62" s="11"/>
    </row>
    <row r="63" spans="1:23">
      <c r="P63" s="11"/>
    </row>
    <row r="64" spans="1:23">
      <c r="P64" s="11"/>
    </row>
    <row r="65" spans="16:16">
      <c r="P65" s="11"/>
    </row>
    <row r="66" spans="16:16">
      <c r="P66" s="11"/>
    </row>
    <row r="67" spans="16:16">
      <c r="P67" s="11"/>
    </row>
    <row r="68" spans="16:16">
      <c r="P68" s="11"/>
    </row>
    <row r="69" spans="16:16">
      <c r="P69" s="11"/>
    </row>
    <row r="70" spans="16:16">
      <c r="P70" s="11"/>
    </row>
    <row r="71" spans="16:16">
      <c r="P71" s="11"/>
    </row>
    <row r="72" spans="16:16">
      <c r="P72" s="11"/>
    </row>
  </sheetData>
  <conditionalFormatting sqref="D48">
    <cfRule type="cellIs" dxfId="0" priority="1" operator="lessThan">
      <formula>160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0ad3e7a-f3d3-412f-bf59-b5740779b9e8">
      <UserInfo>
        <DisplayName>Bjelošević Žiberna, Maja</DisplayName>
        <AccountId>13</AccountId>
        <AccountType/>
      </UserInfo>
      <UserInfo>
        <DisplayName>Ahlin Grabnar, Pegi</DisplayName>
        <AccountId>11</AccountId>
        <AccountType/>
      </UserInfo>
      <UserInfo>
        <DisplayName>Prašnikar, Monika</DisplayName>
        <AccountId>12</AccountId>
        <AccountType/>
      </UserInfo>
    </SharedWithUsers>
    <TaxCatchAll xmlns="90ad3e7a-f3d3-412f-bf59-b5740779b9e8" xsi:nil="true"/>
    <lcf76f155ced4ddcb4097134ff3c332f xmlns="9729f6b8-6284-4d2e-a655-84a9e0cfa74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58CA2BF89654D4A8667FC86FB2BC5CB" ma:contentTypeVersion="14" ma:contentTypeDescription="Ustvari nov dokument." ma:contentTypeScope="" ma:versionID="c8c1a6e1540e0ad56f30ddf00cb75499">
  <xsd:schema xmlns:xsd="http://www.w3.org/2001/XMLSchema" xmlns:xs="http://www.w3.org/2001/XMLSchema" xmlns:p="http://schemas.microsoft.com/office/2006/metadata/properties" xmlns:ns2="9729f6b8-6284-4d2e-a655-84a9e0cfa74c" xmlns:ns3="90ad3e7a-f3d3-412f-bf59-b5740779b9e8" targetNamespace="http://schemas.microsoft.com/office/2006/metadata/properties" ma:root="true" ma:fieldsID="7fb0c6077b59fd1efccf166c365bcc7d" ns2:_="" ns3:_="">
    <xsd:import namespace="9729f6b8-6284-4d2e-a655-84a9e0cfa74c"/>
    <xsd:import namespace="90ad3e7a-f3d3-412f-bf59-b5740779b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29f6b8-6284-4d2e-a655-84a9e0cfa7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Oznake slike" ma:readOnly="false" ma:fieldId="{5cf76f15-5ced-4ddc-b409-7134ff3c332f}" ma:taxonomyMulti="true" ma:sspId="b5c7bf33-a257-4e00-9403-561934745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d3e7a-f3d3-412f-bf59-b5740779b9e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5b7089-e1ef-4833-8488-1e01e8d79860}" ma:internalName="TaxCatchAll" ma:showField="CatchAllData" ma:web="90ad3e7a-f3d3-412f-bf59-b5740779b9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AE8C26-9C88-4CC9-ABBA-C6D512468D48}"/>
</file>

<file path=customXml/itemProps2.xml><?xml version="1.0" encoding="utf-8"?>
<ds:datastoreItem xmlns:ds="http://schemas.openxmlformats.org/officeDocument/2006/customXml" ds:itemID="{7D1035B6-5BD6-41A9-B328-1850C8CEBC56}"/>
</file>

<file path=customXml/itemProps3.xml><?xml version="1.0" encoding="utf-8"?>
<ds:datastoreItem xmlns:ds="http://schemas.openxmlformats.org/officeDocument/2006/customXml" ds:itemID="{C14B2737-E546-4F7D-AFEB-C080934F45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Prašnikar, Monika</dc:creator>
  <cp:keywords/>
  <dc:description/>
  <cp:lastModifiedBy>Prašnikar, Monika</cp:lastModifiedBy>
  <cp:revision/>
  <dcterms:created xsi:type="dcterms:W3CDTF">2024-06-29T14:25:02Z</dcterms:created>
  <dcterms:modified xsi:type="dcterms:W3CDTF">2025-02-18T13:51:03Z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0x010100658CA2BF89654D4A8667FC86FB2BC5CB</vt:lpwstr>
  </property>
  <property fmtid="{D5CDD505-2E9C-101B-9397-08002B2CF9AE}" pid="3" name="MediaServiceImageTags">
    <vt:lpwstr/>
  </property>
</Properties>
</file>